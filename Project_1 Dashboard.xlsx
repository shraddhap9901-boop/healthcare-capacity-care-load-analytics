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E:\Shraddha\UMPL Project\"/>
    </mc:Choice>
  </mc:AlternateContent>
  <xr:revisionPtr revIDLastSave="0" documentId="13_ncr:1_{A2716FDA-0795-4B0B-8B7E-23BDC96E7FB9}" xr6:coauthVersionLast="47" xr6:coauthVersionMax="47" xr10:uidLastSave="{00000000-0000-0000-0000-000000000000}"/>
  <bookViews>
    <workbookView xWindow="-120" yWindow="-120" windowWidth="29040" windowHeight="15720" activeTab="3" xr2:uid="{5A68BEE1-9F6C-42E8-B02A-4779BADA5C3A}"/>
  </bookViews>
  <sheets>
    <sheet name="Raw data" sheetId="1" r:id="rId1"/>
    <sheet name="Calculations" sheetId="2" r:id="rId2"/>
    <sheet name="Pivot_table" sheetId="6" r:id="rId3"/>
    <sheet name="Dashboard" sheetId="4" r:id="rId4"/>
  </sheets>
  <definedNames>
    <definedName name="_xlcn.WorksheetConnection_Project_1Dashboard.xlsxTable11" hidden="1">Table1[]</definedName>
    <definedName name="Slicer_Date__Month">#N/A</definedName>
    <definedName name="Slicer_Date__Year">#N/A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_1 Dashboard.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C7" i="2"/>
  <c r="C6" i="2"/>
  <c r="C5" i="2"/>
  <c r="C4" i="2"/>
  <c r="C3" i="2"/>
  <c r="C8"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5001D-4569-4391-B3D2-3634E15FD1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94B5633-9559-4DE3-B8BB-9990555FD385}" name="WorksheetConnection_Project_1 Dashboard.xlsx!Table1" type="102" refreshedVersion="8" minRefreshableVersion="5">
    <extLst>
      <ext xmlns:x15="http://schemas.microsoft.com/office/spreadsheetml/2010/11/main" uri="{DE250136-89BD-433C-8126-D09CA5730AF9}">
        <x15:connection id="Table1" autoDelete="1">
          <x15:rangePr sourceName="_xlcn.WorksheetConnection_Project_1Dashboard.xlsxTable11"/>
        </x15:connection>
      </ext>
    </extLst>
  </connection>
</connections>
</file>

<file path=xl/sharedStrings.xml><?xml version="1.0" encoding="utf-8"?>
<sst xmlns="http://schemas.openxmlformats.org/spreadsheetml/2006/main" count="185" uniqueCount="38">
  <si>
    <t>Date</t>
  </si>
  <si>
    <t>Children apprehended and placed in CBP custody*</t>
  </si>
  <si>
    <t>Children in CBP custody</t>
  </si>
  <si>
    <t>Children transferred out of CBP custody</t>
  </si>
  <si>
    <t>Children in HHS Care</t>
  </si>
  <si>
    <t>Children discharged from HHS Care</t>
  </si>
  <si>
    <t>Total Apprehended</t>
  </si>
  <si>
    <t>Total Discharged</t>
  </si>
  <si>
    <t>Average HHS Care</t>
  </si>
  <si>
    <t xml:space="preserve">Maximum HHS Care </t>
  </si>
  <si>
    <t>minimum HHS Care</t>
  </si>
  <si>
    <t>Intake</t>
  </si>
  <si>
    <t>Grand Total</t>
  </si>
  <si>
    <t>2023</t>
  </si>
  <si>
    <t>2024</t>
  </si>
  <si>
    <t>2025</t>
  </si>
  <si>
    <t>Jan</t>
  </si>
  <si>
    <t>Feb</t>
  </si>
  <si>
    <t>Mar</t>
  </si>
  <si>
    <t>Apr</t>
  </si>
  <si>
    <t>May</t>
  </si>
  <si>
    <t>Jun</t>
  </si>
  <si>
    <t>Jul</t>
  </si>
  <si>
    <t>Aug</t>
  </si>
  <si>
    <t>Sep</t>
  </si>
  <si>
    <t>Oct</t>
  </si>
  <si>
    <t>Nov</t>
  </si>
  <si>
    <t>Dec</t>
  </si>
  <si>
    <t>Row Labels</t>
  </si>
  <si>
    <t>Sum of Children discharged from HHS Care</t>
  </si>
  <si>
    <t>intake</t>
  </si>
  <si>
    <t>Average of Children in HHS Care</t>
  </si>
  <si>
    <t>Average of Children in CBP custody</t>
  </si>
  <si>
    <t>Sum of intake</t>
  </si>
  <si>
    <t>Sum of Children transferred out of CBP custody</t>
  </si>
  <si>
    <t>System Capacity &amp; Care Load Analytics for Unaccompanied Children</t>
  </si>
  <si>
    <t>Interactive Healthcare Analytics Dashboard</t>
  </si>
  <si>
    <t>Monthly Average HHS Care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</si>
</sst>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0"/>
      <color theme="1" tint="4.9989318521683403E-2"/>
      <name val="Calibri"/>
      <family val="2"/>
      <scheme val="minor"/>
    </font>
    <font>
      <sz val="11"/>
      <color theme="2" tint="-0.499984740745262"/>
      <name val="Calibri"/>
      <family val="2"/>
      <scheme val="minor"/>
    </font>
    <font>
      <b/>
      <sz val="30"/>
      <color theme="4" tint="-0.249977111117893"/>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3">
    <xf numFmtId="0" fontId="0" fillId="0" borderId="0" xfId="0"/>
    <xf numFmtId="15" fontId="0" fillId="0" borderId="0" xfId="0" applyNumberFormat="1"/>
    <xf numFmtId="3" fontId="0" fillId="0" borderId="0" xfId="0" applyNumberFormat="1"/>
    <xf numFmtId="0" fontId="0" fillId="0" borderId="0" xfId="0" applyAlignment="1">
      <alignment horizontal="left" vertical="center" wrapText="1"/>
    </xf>
    <xf numFmtId="0" fontId="0" fillId="0" borderId="0" xfId="0"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xf>
  </cellXfs>
  <cellStyles count="1">
    <cellStyle name="Normal" xfId="0" builtinId="0"/>
  </cellStyles>
  <dxfs count="3">
    <dxf>
      <numFmt numFmtId="0" formatCode="General"/>
    </dxf>
    <dxf>
      <numFmt numFmtId="3" formatCode="#,##0"/>
    </dxf>
    <dxf>
      <numFmt numFmtId="20" formatCode="d\-mmm\-yy"/>
    </dxf>
  </dxfs>
  <tableStyles count="0" defaultTableStyle="TableStyleMedium2" defaultPivotStyle="PivotStyleLight16"/>
  <colors>
    <mruColors>
      <color rgb="FFA0AFEE"/>
      <color rgb="FFFF33CC"/>
      <color rgb="FFE75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Dashboard.xlsx]Pivot_table!PivotTable15</c:name>
    <c:fmtId val="4"/>
  </c:pivotSource>
  <c:chart>
    <c:title>
      <c:tx>
        <c:rich>
          <a:bodyPr rot="0" spcFirstLastPara="1" vertOverflow="ellipsis" vert="horz" wrap="square" anchor="ctr" anchorCtr="1"/>
          <a:lstStyle/>
          <a:p>
            <a:pPr algn="ctr" rtl="0">
              <a:def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CBP vs HHS Care Load Comparison</a:t>
            </a:r>
          </a:p>
        </c:rich>
      </c:tx>
      <c:layout>
        <c:manualLayout>
          <c:xMode val="edge"/>
          <c:yMode val="edge"/>
          <c:x val="0.23579926824142849"/>
          <c:y val="4.1590220076123202E-2"/>
        </c:manualLayout>
      </c:layout>
      <c:overlay val="0"/>
      <c:spPr>
        <a:noFill/>
        <a:ln>
          <a:noFill/>
        </a:ln>
        <a:effectLst/>
      </c:spPr>
      <c:txPr>
        <a:bodyPr rot="0" spcFirstLastPara="1" vertOverflow="ellipsis" vert="horz" wrap="square" anchor="ctr" anchorCtr="1"/>
        <a:lstStyle/>
        <a:p>
          <a:pPr algn="ctr" rtl="0">
            <a:def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c:f>
              <c:strCache>
                <c:ptCount val="1"/>
                <c:pt idx="0">
                  <c:v>Average of Children in CBP custody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Pivot_table!$G$2:$G$41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Pivot_table!$H$2:$H$41</c:f>
              <c:numCache>
                <c:formatCode>General</c:formatCode>
                <c:ptCount val="36"/>
                <c:pt idx="0">
                  <c:v>43.875</c:v>
                </c:pt>
                <c:pt idx="1">
                  <c:v>171.31578947368422</c:v>
                </c:pt>
                <c:pt idx="2">
                  <c:v>245.10526315789474</c:v>
                </c:pt>
                <c:pt idx="3">
                  <c:v>250.1904761904762</c:v>
                </c:pt>
                <c:pt idx="4">
                  <c:v>216.95454545454547</c:v>
                </c:pt>
                <c:pt idx="5">
                  <c:v>145.65</c:v>
                </c:pt>
                <c:pt idx="6">
                  <c:v>245.28571428571428</c:v>
                </c:pt>
                <c:pt idx="7">
                  <c:v>237.2</c:v>
                </c:pt>
                <c:pt idx="8">
                  <c:v>291.05263157894734</c:v>
                </c:pt>
                <c:pt idx="9">
                  <c:v>102.90909090909091</c:v>
                </c:pt>
                <c:pt idx="10">
                  <c:v>183.5</c:v>
                </c:pt>
                <c:pt idx="11">
                  <c:v>186.63157894736841</c:v>
                </c:pt>
                <c:pt idx="12">
                  <c:v>170.59090909090909</c:v>
                </c:pt>
                <c:pt idx="13">
                  <c:v>441.6</c:v>
                </c:pt>
                <c:pt idx="14">
                  <c:v>321.1904761904762</c:v>
                </c:pt>
                <c:pt idx="15">
                  <c:v>309.18181818181819</c:v>
                </c:pt>
                <c:pt idx="16">
                  <c:v>345.76190476190476</c:v>
                </c:pt>
                <c:pt idx="17">
                  <c:v>283.95238095238096</c:v>
                </c:pt>
                <c:pt idx="18">
                  <c:v>212.42857142857142</c:v>
                </c:pt>
                <c:pt idx="19">
                  <c:v>254.47368421052633</c:v>
                </c:pt>
                <c:pt idx="20">
                  <c:v>239.22727272727272</c:v>
                </c:pt>
                <c:pt idx="21">
                  <c:v>243.42857142857142</c:v>
                </c:pt>
                <c:pt idx="22">
                  <c:v>236.73684210526315</c:v>
                </c:pt>
                <c:pt idx="23">
                  <c:v>271.72727272727275</c:v>
                </c:pt>
                <c:pt idx="24">
                  <c:v>88.954545454545453</c:v>
                </c:pt>
                <c:pt idx="25">
                  <c:v>22.684210526315791</c:v>
                </c:pt>
                <c:pt idx="26">
                  <c:v>21.454545454545453</c:v>
                </c:pt>
                <c:pt idx="27">
                  <c:v>24.869565217391305</c:v>
                </c:pt>
                <c:pt idx="28">
                  <c:v>32.833333333333336</c:v>
                </c:pt>
                <c:pt idx="29">
                  <c:v>19.058823529411764</c:v>
                </c:pt>
                <c:pt idx="30">
                  <c:v>13.952380952380953</c:v>
                </c:pt>
                <c:pt idx="31">
                  <c:v>25.6</c:v>
                </c:pt>
                <c:pt idx="32">
                  <c:v>35.81818181818182</c:v>
                </c:pt>
                <c:pt idx="33">
                  <c:v>34.333333333333336</c:v>
                </c:pt>
                <c:pt idx="34">
                  <c:v>34.789473684210527</c:v>
                </c:pt>
                <c:pt idx="35">
                  <c:v>36.200000000000003</c:v>
                </c:pt>
              </c:numCache>
            </c:numRef>
          </c:val>
          <c:extLst>
            <c:ext xmlns:c16="http://schemas.microsoft.com/office/drawing/2014/chart" uri="{C3380CC4-5D6E-409C-BE32-E72D297353CC}">
              <c16:uniqueId val="{00000000-09D7-41A5-8A2C-23D859FEE23E}"/>
            </c:ext>
          </c:extLst>
        </c:ser>
        <c:ser>
          <c:idx val="1"/>
          <c:order val="1"/>
          <c:tx>
            <c:strRef>
              <c:f>Pivot_table!$I$1</c:f>
              <c:strCache>
                <c:ptCount val="1"/>
                <c:pt idx="0">
                  <c:v>Average of Children in HHS Care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Pivot_table!$G$2:$G$41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Pivot_table!$I$2:$I$41</c:f>
              <c:numCache>
                <c:formatCode>General</c:formatCode>
                <c:ptCount val="36"/>
                <c:pt idx="0">
                  <c:v>7369.625</c:v>
                </c:pt>
                <c:pt idx="1">
                  <c:v>7795.7894736842109</c:v>
                </c:pt>
                <c:pt idx="2">
                  <c:v>7945.3684210526317</c:v>
                </c:pt>
                <c:pt idx="3">
                  <c:v>7842.666666666667</c:v>
                </c:pt>
                <c:pt idx="4">
                  <c:v>8187.136363636364</c:v>
                </c:pt>
                <c:pt idx="5">
                  <c:v>6136.45</c:v>
                </c:pt>
                <c:pt idx="6">
                  <c:v>6828.0952380952385</c:v>
                </c:pt>
                <c:pt idx="7">
                  <c:v>9347.9</c:v>
                </c:pt>
                <c:pt idx="8">
                  <c:v>10701.315789473685</c:v>
                </c:pt>
                <c:pt idx="9">
                  <c:v>10205.318181818182</c:v>
                </c:pt>
                <c:pt idx="10">
                  <c:v>9726.1</c:v>
                </c:pt>
                <c:pt idx="11">
                  <c:v>11068.631578947368</c:v>
                </c:pt>
                <c:pt idx="12">
                  <c:v>8851.045454545454</c:v>
                </c:pt>
                <c:pt idx="13">
                  <c:v>8325.2000000000007</c:v>
                </c:pt>
                <c:pt idx="14">
                  <c:v>8382.6666666666661</c:v>
                </c:pt>
                <c:pt idx="15">
                  <c:v>7027.136363636364</c:v>
                </c:pt>
                <c:pt idx="16">
                  <c:v>7490.2857142857147</c:v>
                </c:pt>
                <c:pt idx="17">
                  <c:v>7407.5238095238092</c:v>
                </c:pt>
                <c:pt idx="18">
                  <c:v>6286.333333333333</c:v>
                </c:pt>
                <c:pt idx="19">
                  <c:v>6004.2631578947367</c:v>
                </c:pt>
                <c:pt idx="20">
                  <c:v>6213.409090909091</c:v>
                </c:pt>
                <c:pt idx="21">
                  <c:v>6032.8571428571431</c:v>
                </c:pt>
                <c:pt idx="22">
                  <c:v>5914.6842105263158</c:v>
                </c:pt>
                <c:pt idx="23">
                  <c:v>6418.681818181818</c:v>
                </c:pt>
                <c:pt idx="24">
                  <c:v>4991.090909090909</c:v>
                </c:pt>
                <c:pt idx="25">
                  <c:v>2781.5263157894738</c:v>
                </c:pt>
                <c:pt idx="26">
                  <c:v>2164.4545454545455</c:v>
                </c:pt>
                <c:pt idx="27">
                  <c:v>2273.1304347826085</c:v>
                </c:pt>
                <c:pt idx="28">
                  <c:v>2406.9444444444443</c:v>
                </c:pt>
                <c:pt idx="29">
                  <c:v>2492.4117647058824</c:v>
                </c:pt>
                <c:pt idx="30">
                  <c:v>2187.1904761904761</c:v>
                </c:pt>
                <c:pt idx="31">
                  <c:v>2001.3</c:v>
                </c:pt>
                <c:pt idx="32">
                  <c:v>2082.2272727272725</c:v>
                </c:pt>
                <c:pt idx="33">
                  <c:v>2231.0476190476193</c:v>
                </c:pt>
                <c:pt idx="34">
                  <c:v>2325.8947368421054</c:v>
                </c:pt>
                <c:pt idx="35">
                  <c:v>2445.2666666666669</c:v>
                </c:pt>
              </c:numCache>
            </c:numRef>
          </c:val>
          <c:extLst>
            <c:ext xmlns:c16="http://schemas.microsoft.com/office/drawing/2014/chart" uri="{C3380CC4-5D6E-409C-BE32-E72D297353CC}">
              <c16:uniqueId val="{00000001-09D7-41A5-8A2C-23D859FEE23E}"/>
            </c:ext>
          </c:extLst>
        </c:ser>
        <c:dLbls>
          <c:showLegendKey val="0"/>
          <c:showVal val="0"/>
          <c:showCatName val="0"/>
          <c:showSerName val="0"/>
          <c:showPercent val="0"/>
          <c:showBubbleSize val="0"/>
        </c:dLbls>
        <c:gapWidth val="315"/>
        <c:overlap val="-40"/>
        <c:axId val="1181317392"/>
        <c:axId val="1181317872"/>
      </c:barChart>
      <c:catAx>
        <c:axId val="1181317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lt1">
                    <a:lumMod val="85000"/>
                  </a:schemeClr>
                </a:solidFill>
                <a:latin typeface="+mn-lt"/>
                <a:ea typeface="+mn-ea"/>
                <a:cs typeface="+mn-cs"/>
              </a:defRPr>
            </a:pPr>
            <a:endParaRPr lang="en-US"/>
          </a:p>
        </c:txPr>
        <c:crossAx val="1181317872"/>
        <c:crosses val="autoZero"/>
        <c:auto val="1"/>
        <c:lblAlgn val="ctr"/>
        <c:lblOffset val="100"/>
        <c:noMultiLvlLbl val="0"/>
      </c:catAx>
      <c:valAx>
        <c:axId val="11813178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lt1">
                    <a:lumMod val="85000"/>
                  </a:schemeClr>
                </a:solidFill>
                <a:latin typeface="+mn-lt"/>
                <a:ea typeface="+mn-ea"/>
                <a:cs typeface="+mn-cs"/>
              </a:defRPr>
            </a:pPr>
            <a:endParaRPr lang="en-US"/>
          </a:p>
        </c:txPr>
        <c:crossAx val="118131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Dashboard.xlsx]Pivot_table!PivotTable16</c:name>
    <c:fmtId val="4"/>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Intake </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Pivot_table!$L$1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Pivot_table!$K$2:$K$41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Pivot_table!$L$2:$L$41</c:f>
              <c:numCache>
                <c:formatCode>General</c:formatCode>
                <c:ptCount val="36"/>
                <c:pt idx="0">
                  <c:v>-1609</c:v>
                </c:pt>
                <c:pt idx="1">
                  <c:v>-3297</c:v>
                </c:pt>
                <c:pt idx="2">
                  <c:v>-2896</c:v>
                </c:pt>
                <c:pt idx="3">
                  <c:v>-2539</c:v>
                </c:pt>
                <c:pt idx="4">
                  <c:v>-3510</c:v>
                </c:pt>
                <c:pt idx="5">
                  <c:v>-2255</c:v>
                </c:pt>
                <c:pt idx="6">
                  <c:v>-1549</c:v>
                </c:pt>
                <c:pt idx="7">
                  <c:v>-3719</c:v>
                </c:pt>
                <c:pt idx="8">
                  <c:v>-3352</c:v>
                </c:pt>
                <c:pt idx="9">
                  <c:v>-6172</c:v>
                </c:pt>
                <c:pt idx="10">
                  <c:v>-3693</c:v>
                </c:pt>
                <c:pt idx="11">
                  <c:v>-4597</c:v>
                </c:pt>
                <c:pt idx="12">
                  <c:v>-4399</c:v>
                </c:pt>
                <c:pt idx="13">
                  <c:v>-756</c:v>
                </c:pt>
                <c:pt idx="14">
                  <c:v>-2301</c:v>
                </c:pt>
                <c:pt idx="15">
                  <c:v>-1050</c:v>
                </c:pt>
                <c:pt idx="16">
                  <c:v>-843</c:v>
                </c:pt>
                <c:pt idx="17">
                  <c:v>-1535</c:v>
                </c:pt>
                <c:pt idx="18">
                  <c:v>-1336</c:v>
                </c:pt>
                <c:pt idx="19">
                  <c:v>-417</c:v>
                </c:pt>
                <c:pt idx="20">
                  <c:v>-909</c:v>
                </c:pt>
                <c:pt idx="21">
                  <c:v>-458</c:v>
                </c:pt>
                <c:pt idx="22">
                  <c:v>-337</c:v>
                </c:pt>
                <c:pt idx="23">
                  <c:v>-182</c:v>
                </c:pt>
                <c:pt idx="24">
                  <c:v>-2019</c:v>
                </c:pt>
                <c:pt idx="25">
                  <c:v>-848</c:v>
                </c:pt>
                <c:pt idx="26">
                  <c:v>-140</c:v>
                </c:pt>
                <c:pt idx="27">
                  <c:v>-14</c:v>
                </c:pt>
                <c:pt idx="28">
                  <c:v>12</c:v>
                </c:pt>
                <c:pt idx="29">
                  <c:v>-158</c:v>
                </c:pt>
                <c:pt idx="30">
                  <c:v>-326</c:v>
                </c:pt>
                <c:pt idx="31">
                  <c:v>-147</c:v>
                </c:pt>
                <c:pt idx="32">
                  <c:v>-33</c:v>
                </c:pt>
                <c:pt idx="33">
                  <c:v>-74</c:v>
                </c:pt>
                <c:pt idx="34">
                  <c:v>-30</c:v>
                </c:pt>
                <c:pt idx="35">
                  <c:v>-28</c:v>
                </c:pt>
              </c:numCache>
            </c:numRef>
          </c:val>
          <c:smooth val="0"/>
          <c:extLst>
            <c:ext xmlns:c16="http://schemas.microsoft.com/office/drawing/2014/chart" uri="{C3380CC4-5D6E-409C-BE32-E72D297353CC}">
              <c16:uniqueId val="{00000000-2C71-4C21-BC4C-E74AED3B3443}"/>
            </c:ext>
          </c:extLst>
        </c:ser>
        <c:dLbls>
          <c:showLegendKey val="0"/>
          <c:showVal val="0"/>
          <c:showCatName val="0"/>
          <c:showSerName val="0"/>
          <c:showPercent val="0"/>
          <c:showBubbleSize val="0"/>
        </c:dLbls>
        <c:marker val="1"/>
        <c:smooth val="0"/>
        <c:axId val="1288552640"/>
        <c:axId val="1288544480"/>
      </c:lineChart>
      <c:catAx>
        <c:axId val="12885526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lt1">
                    <a:lumMod val="85000"/>
                  </a:schemeClr>
                </a:solidFill>
                <a:latin typeface="+mn-lt"/>
                <a:ea typeface="+mn-ea"/>
                <a:cs typeface="+mn-cs"/>
              </a:defRPr>
            </a:pPr>
            <a:endParaRPr lang="en-US"/>
          </a:p>
        </c:txPr>
        <c:crossAx val="1288544480"/>
        <c:crosses val="autoZero"/>
        <c:auto val="1"/>
        <c:lblAlgn val="ctr"/>
        <c:lblOffset val="100"/>
        <c:noMultiLvlLbl val="0"/>
      </c:catAx>
      <c:valAx>
        <c:axId val="1288544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lt1">
                    <a:lumMod val="85000"/>
                  </a:schemeClr>
                </a:solidFill>
                <a:latin typeface="+mn-lt"/>
                <a:ea typeface="+mn-ea"/>
                <a:cs typeface="+mn-cs"/>
              </a:defRPr>
            </a:pPr>
            <a:endParaRPr lang="en-US"/>
          </a:p>
        </c:txPr>
        <c:crossAx val="128855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Dashboard.xlsx]Pivot_table!PivotTable17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Transfers vs Discharges Comparison</a:t>
            </a:r>
          </a:p>
        </c:rich>
      </c:tx>
      <c:layout>
        <c:manualLayout>
          <c:xMode val="edge"/>
          <c:yMode val="edge"/>
          <c:x val="0.24802711733215349"/>
          <c:y val="6.15213539961738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2196054892214"/>
          <c:y val="0.33863968719516907"/>
          <c:w val="0.85490611605368982"/>
          <c:h val="0.24995969857826453"/>
        </c:manualLayout>
      </c:layout>
      <c:barChart>
        <c:barDir val="col"/>
        <c:grouping val="clustered"/>
        <c:varyColors val="0"/>
        <c:ser>
          <c:idx val="0"/>
          <c:order val="0"/>
          <c:tx>
            <c:strRef>
              <c:f>Pivot_table!$B$44</c:f>
              <c:strCache>
                <c:ptCount val="1"/>
                <c:pt idx="0">
                  <c:v>Sum of Children transferred out of CBP custody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Pivot_table!$A$45:$A$84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Pivot_table!$B$45:$B$84</c:f>
              <c:numCache>
                <c:formatCode>General</c:formatCode>
                <c:ptCount val="36"/>
                <c:pt idx="0">
                  <c:v>276</c:v>
                </c:pt>
                <c:pt idx="1">
                  <c:v>2637</c:v>
                </c:pt>
                <c:pt idx="2">
                  <c:v>3399</c:v>
                </c:pt>
                <c:pt idx="3">
                  <c:v>3967</c:v>
                </c:pt>
                <c:pt idx="4">
                  <c:v>3622</c:v>
                </c:pt>
                <c:pt idx="5">
                  <c:v>2416</c:v>
                </c:pt>
                <c:pt idx="6">
                  <c:v>3897</c:v>
                </c:pt>
                <c:pt idx="7">
                  <c:v>3587</c:v>
                </c:pt>
                <c:pt idx="8">
                  <c:v>3971</c:v>
                </c:pt>
                <c:pt idx="9">
                  <c:v>2049</c:v>
                </c:pt>
                <c:pt idx="10">
                  <c:v>3198</c:v>
                </c:pt>
                <c:pt idx="11">
                  <c:v>3105</c:v>
                </c:pt>
                <c:pt idx="12">
                  <c:v>2850</c:v>
                </c:pt>
                <c:pt idx="13">
                  <c:v>6332</c:v>
                </c:pt>
                <c:pt idx="14">
                  <c:v>5209</c:v>
                </c:pt>
                <c:pt idx="15">
                  <c:v>5178</c:v>
                </c:pt>
                <c:pt idx="16">
                  <c:v>5194</c:v>
                </c:pt>
                <c:pt idx="17">
                  <c:v>4882</c:v>
                </c:pt>
                <c:pt idx="18">
                  <c:v>3679</c:v>
                </c:pt>
                <c:pt idx="19">
                  <c:v>3546</c:v>
                </c:pt>
                <c:pt idx="20">
                  <c:v>3987</c:v>
                </c:pt>
                <c:pt idx="21">
                  <c:v>3886</c:v>
                </c:pt>
                <c:pt idx="22">
                  <c:v>3414</c:v>
                </c:pt>
                <c:pt idx="23">
                  <c:v>4395</c:v>
                </c:pt>
                <c:pt idx="24">
                  <c:v>1750</c:v>
                </c:pt>
                <c:pt idx="25">
                  <c:v>341</c:v>
                </c:pt>
                <c:pt idx="26">
                  <c:v>190</c:v>
                </c:pt>
                <c:pt idx="27">
                  <c:v>230</c:v>
                </c:pt>
                <c:pt idx="28">
                  <c:v>252</c:v>
                </c:pt>
                <c:pt idx="29">
                  <c:v>138</c:v>
                </c:pt>
                <c:pt idx="30">
                  <c:v>88</c:v>
                </c:pt>
                <c:pt idx="31">
                  <c:v>147</c:v>
                </c:pt>
                <c:pt idx="32">
                  <c:v>260</c:v>
                </c:pt>
                <c:pt idx="33">
                  <c:v>263</c:v>
                </c:pt>
                <c:pt idx="34">
                  <c:v>182</c:v>
                </c:pt>
                <c:pt idx="35">
                  <c:v>124</c:v>
                </c:pt>
              </c:numCache>
            </c:numRef>
          </c:val>
          <c:extLst>
            <c:ext xmlns:c16="http://schemas.microsoft.com/office/drawing/2014/chart" uri="{C3380CC4-5D6E-409C-BE32-E72D297353CC}">
              <c16:uniqueId val="{00000000-9EAC-48C6-9F23-CD161D8647C8}"/>
            </c:ext>
          </c:extLst>
        </c:ser>
        <c:ser>
          <c:idx val="1"/>
          <c:order val="1"/>
          <c:tx>
            <c:strRef>
              <c:f>Pivot_table!$C$44</c:f>
              <c:strCache>
                <c:ptCount val="1"/>
                <c:pt idx="0">
                  <c:v>Sum of Children discharged from HHS Care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Pivot_table!$A$45:$A$84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Pivot_table!$C$45:$C$84</c:f>
              <c:numCache>
                <c:formatCode>General</c:formatCode>
                <c:ptCount val="36"/>
                <c:pt idx="0">
                  <c:v>1856</c:v>
                </c:pt>
                <c:pt idx="1">
                  <c:v>5183</c:v>
                </c:pt>
                <c:pt idx="2">
                  <c:v>5375</c:v>
                </c:pt>
                <c:pt idx="3">
                  <c:v>5668</c:v>
                </c:pt>
                <c:pt idx="4">
                  <c:v>6256</c:v>
                </c:pt>
                <c:pt idx="5">
                  <c:v>4029</c:v>
                </c:pt>
                <c:pt idx="6">
                  <c:v>4407</c:v>
                </c:pt>
                <c:pt idx="7">
                  <c:v>6470</c:v>
                </c:pt>
                <c:pt idx="8">
                  <c:v>6546</c:v>
                </c:pt>
                <c:pt idx="9">
                  <c:v>7658</c:v>
                </c:pt>
                <c:pt idx="10">
                  <c:v>5992</c:v>
                </c:pt>
                <c:pt idx="11">
                  <c:v>6804</c:v>
                </c:pt>
                <c:pt idx="12">
                  <c:v>6496</c:v>
                </c:pt>
                <c:pt idx="13">
                  <c:v>5273</c:v>
                </c:pt>
                <c:pt idx="14">
                  <c:v>5678</c:v>
                </c:pt>
                <c:pt idx="15">
                  <c:v>4474</c:v>
                </c:pt>
                <c:pt idx="16">
                  <c:v>4336</c:v>
                </c:pt>
                <c:pt idx="17">
                  <c:v>4911</c:v>
                </c:pt>
                <c:pt idx="18">
                  <c:v>3899</c:v>
                </c:pt>
                <c:pt idx="19">
                  <c:v>3073</c:v>
                </c:pt>
                <c:pt idx="20">
                  <c:v>3692</c:v>
                </c:pt>
                <c:pt idx="21">
                  <c:v>3194</c:v>
                </c:pt>
                <c:pt idx="22">
                  <c:v>3001</c:v>
                </c:pt>
                <c:pt idx="23">
                  <c:v>3662</c:v>
                </c:pt>
                <c:pt idx="24">
                  <c:v>3330</c:v>
                </c:pt>
                <c:pt idx="25">
                  <c:v>1160</c:v>
                </c:pt>
                <c:pt idx="26">
                  <c:v>309</c:v>
                </c:pt>
                <c:pt idx="27">
                  <c:v>203</c:v>
                </c:pt>
                <c:pt idx="28">
                  <c:v>205</c:v>
                </c:pt>
                <c:pt idx="29">
                  <c:v>281</c:v>
                </c:pt>
                <c:pt idx="30">
                  <c:v>396</c:v>
                </c:pt>
                <c:pt idx="31">
                  <c:v>254</c:v>
                </c:pt>
                <c:pt idx="32">
                  <c:v>237</c:v>
                </c:pt>
                <c:pt idx="33">
                  <c:v>242</c:v>
                </c:pt>
                <c:pt idx="34">
                  <c:v>159</c:v>
                </c:pt>
                <c:pt idx="35">
                  <c:v>144</c:v>
                </c:pt>
              </c:numCache>
            </c:numRef>
          </c:val>
          <c:extLst>
            <c:ext xmlns:c16="http://schemas.microsoft.com/office/drawing/2014/chart" uri="{C3380CC4-5D6E-409C-BE32-E72D297353CC}">
              <c16:uniqueId val="{00000001-9EAC-48C6-9F23-CD161D8647C8}"/>
            </c:ext>
          </c:extLst>
        </c:ser>
        <c:dLbls>
          <c:showLegendKey val="0"/>
          <c:showVal val="0"/>
          <c:showCatName val="0"/>
          <c:showSerName val="0"/>
          <c:showPercent val="0"/>
          <c:showBubbleSize val="0"/>
        </c:dLbls>
        <c:gapWidth val="150"/>
        <c:axId val="2138789807"/>
        <c:axId val="2138791727"/>
      </c:barChart>
      <c:catAx>
        <c:axId val="2138789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2138791727"/>
        <c:crosses val="autoZero"/>
        <c:auto val="1"/>
        <c:lblAlgn val="ctr"/>
        <c:lblOffset val="100"/>
        <c:noMultiLvlLbl val="0"/>
      </c:catAx>
      <c:valAx>
        <c:axId val="2138791727"/>
        <c:scaling>
          <c:orientation val="minMax"/>
        </c:scaling>
        <c:delete val="0"/>
        <c:axPos val="l"/>
        <c:majorGridlines>
          <c:spPr>
            <a:ln w="6350" cap="flat" cmpd="sng" algn="ctr">
              <a:solidFill>
                <a:schemeClr val="bg2">
                  <a:lumMod val="75000"/>
                  <a:alpha val="56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2138789807"/>
        <c:crosses val="autoZero"/>
        <c:crossBetween val="between"/>
        <c:majorUnit val="2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Dashboard.xlsx]Pivot_table!PivotTable14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Average HHS Care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Pivot_table!$A$2:$A$41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Pivot_table!$B$2:$B$41</c:f>
              <c:numCache>
                <c:formatCode>General</c:formatCode>
                <c:ptCount val="36"/>
                <c:pt idx="0">
                  <c:v>7369.625</c:v>
                </c:pt>
                <c:pt idx="1">
                  <c:v>7795.7894736842109</c:v>
                </c:pt>
                <c:pt idx="2">
                  <c:v>7945.3684210526317</c:v>
                </c:pt>
                <c:pt idx="3">
                  <c:v>7842.666666666667</c:v>
                </c:pt>
                <c:pt idx="4">
                  <c:v>8187.136363636364</c:v>
                </c:pt>
                <c:pt idx="5">
                  <c:v>6136.45</c:v>
                </c:pt>
                <c:pt idx="6">
                  <c:v>6828.0952380952385</c:v>
                </c:pt>
                <c:pt idx="7">
                  <c:v>9347.9</c:v>
                </c:pt>
                <c:pt idx="8">
                  <c:v>10701.315789473685</c:v>
                </c:pt>
                <c:pt idx="9">
                  <c:v>10205.318181818182</c:v>
                </c:pt>
                <c:pt idx="10">
                  <c:v>9726.1</c:v>
                </c:pt>
                <c:pt idx="11">
                  <c:v>11068.631578947368</c:v>
                </c:pt>
                <c:pt idx="12">
                  <c:v>8851.045454545454</c:v>
                </c:pt>
                <c:pt idx="13">
                  <c:v>8325.2000000000007</c:v>
                </c:pt>
                <c:pt idx="14">
                  <c:v>8382.6666666666661</c:v>
                </c:pt>
                <c:pt idx="15">
                  <c:v>7027.136363636364</c:v>
                </c:pt>
                <c:pt idx="16">
                  <c:v>7490.2857142857147</c:v>
                </c:pt>
                <c:pt idx="17">
                  <c:v>7407.5238095238092</c:v>
                </c:pt>
                <c:pt idx="18">
                  <c:v>6286.333333333333</c:v>
                </c:pt>
                <c:pt idx="19">
                  <c:v>6004.2631578947367</c:v>
                </c:pt>
                <c:pt idx="20">
                  <c:v>6213.409090909091</c:v>
                </c:pt>
                <c:pt idx="21">
                  <c:v>6032.8571428571431</c:v>
                </c:pt>
                <c:pt idx="22">
                  <c:v>5914.6842105263158</c:v>
                </c:pt>
                <c:pt idx="23">
                  <c:v>6418.681818181818</c:v>
                </c:pt>
                <c:pt idx="24">
                  <c:v>4991.090909090909</c:v>
                </c:pt>
                <c:pt idx="25">
                  <c:v>2781.5263157894738</c:v>
                </c:pt>
                <c:pt idx="26">
                  <c:v>2164.4545454545455</c:v>
                </c:pt>
                <c:pt idx="27">
                  <c:v>2273.1304347826085</c:v>
                </c:pt>
                <c:pt idx="28">
                  <c:v>2406.9444444444443</c:v>
                </c:pt>
                <c:pt idx="29">
                  <c:v>2492.4117647058824</c:v>
                </c:pt>
                <c:pt idx="30">
                  <c:v>2187.1904761904761</c:v>
                </c:pt>
                <c:pt idx="31">
                  <c:v>2001.3</c:v>
                </c:pt>
                <c:pt idx="32">
                  <c:v>2082.2272727272725</c:v>
                </c:pt>
                <c:pt idx="33">
                  <c:v>2231.0476190476193</c:v>
                </c:pt>
                <c:pt idx="34">
                  <c:v>2325.8947368421054</c:v>
                </c:pt>
                <c:pt idx="35">
                  <c:v>2445.2666666666669</c:v>
                </c:pt>
              </c:numCache>
            </c:numRef>
          </c:val>
          <c:smooth val="0"/>
          <c:extLst>
            <c:ext xmlns:c16="http://schemas.microsoft.com/office/drawing/2014/chart" uri="{C3380CC4-5D6E-409C-BE32-E72D297353CC}">
              <c16:uniqueId val="{00000000-AF20-4BFD-B8FE-47F5FFB281DC}"/>
            </c:ext>
          </c:extLst>
        </c:ser>
        <c:dLbls>
          <c:showLegendKey val="0"/>
          <c:showVal val="0"/>
          <c:showCatName val="0"/>
          <c:showSerName val="0"/>
          <c:showPercent val="0"/>
          <c:showBubbleSize val="0"/>
        </c:dLbls>
        <c:marker val="1"/>
        <c:smooth val="0"/>
        <c:axId val="1280515472"/>
        <c:axId val="1280518832"/>
      </c:lineChart>
      <c:catAx>
        <c:axId val="12805154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280518832"/>
        <c:crosses val="autoZero"/>
        <c:auto val="1"/>
        <c:lblAlgn val="ctr"/>
        <c:lblOffset val="100"/>
        <c:noMultiLvlLbl val="0"/>
      </c:catAx>
      <c:valAx>
        <c:axId val="1280518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28051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428205</xdr:colOff>
      <xdr:row>9</xdr:row>
      <xdr:rowOff>33618</xdr:rowOff>
    </xdr:from>
    <xdr:to>
      <xdr:col>21</xdr:col>
      <xdr:colOff>9867</xdr:colOff>
      <xdr:row>21</xdr:row>
      <xdr:rowOff>189066</xdr:rowOff>
    </xdr:to>
    <xdr:graphicFrame macro="">
      <xdr:nvGraphicFramePr>
        <xdr:cNvPr id="14" name="Chart 13">
          <a:extLst>
            <a:ext uri="{FF2B5EF4-FFF2-40B4-BE49-F238E27FC236}">
              <a16:creationId xmlns:a16="http://schemas.microsoft.com/office/drawing/2014/main" id="{3875FF7D-3ECD-4D03-8962-82ADAD598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418338</xdr:colOff>
      <xdr:row>24</xdr:row>
      <xdr:rowOff>0</xdr:rowOff>
    </xdr:from>
    <xdr:to>
      <xdr:col>7</xdr:col>
      <xdr:colOff>0</xdr:colOff>
      <xdr:row>36</xdr:row>
      <xdr:rowOff>155448</xdr:rowOff>
    </xdr:to>
    <xdr:graphicFrame macro="">
      <xdr:nvGraphicFramePr>
        <xdr:cNvPr id="15" name="Chart 14">
          <a:extLst>
            <a:ext uri="{FF2B5EF4-FFF2-40B4-BE49-F238E27FC236}">
              <a16:creationId xmlns:a16="http://schemas.microsoft.com/office/drawing/2014/main" id="{FEE3B71F-40A7-4C93-AF7E-B9F67C3DB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24</xdr:row>
      <xdr:rowOff>0</xdr:rowOff>
    </xdr:from>
    <xdr:to>
      <xdr:col>14</xdr:col>
      <xdr:colOff>193983</xdr:colOff>
      <xdr:row>36</xdr:row>
      <xdr:rowOff>155448</xdr:rowOff>
    </xdr:to>
    <xdr:graphicFrame macro="">
      <xdr:nvGraphicFramePr>
        <xdr:cNvPr id="3" name="Chart 2">
          <a:extLst>
            <a:ext uri="{FF2B5EF4-FFF2-40B4-BE49-F238E27FC236}">
              <a16:creationId xmlns:a16="http://schemas.microsoft.com/office/drawing/2014/main" id="{A076A6EA-CB80-4EBF-8ACB-B8AD78BAB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341700</xdr:colOff>
      <xdr:row>3</xdr:row>
      <xdr:rowOff>120869</xdr:rowOff>
    </xdr:from>
    <xdr:to>
      <xdr:col>20</xdr:col>
      <xdr:colOff>501061</xdr:colOff>
      <xdr:row>7</xdr:row>
      <xdr:rowOff>120868</xdr:rowOff>
    </xdr:to>
    <xdr:grpSp>
      <xdr:nvGrpSpPr>
        <xdr:cNvPr id="19" name="Group 18">
          <a:extLst>
            <a:ext uri="{FF2B5EF4-FFF2-40B4-BE49-F238E27FC236}">
              <a16:creationId xmlns:a16="http://schemas.microsoft.com/office/drawing/2014/main" id="{A94366EE-FA92-F65F-ECFD-772376BC4A12}"/>
            </a:ext>
          </a:extLst>
        </xdr:cNvPr>
        <xdr:cNvGrpSpPr/>
      </xdr:nvGrpSpPr>
      <xdr:grpSpPr>
        <a:xfrm>
          <a:off x="341700" y="1059762"/>
          <a:ext cx="12405790" cy="761999"/>
          <a:chOff x="98189" y="988303"/>
          <a:chExt cx="12257485" cy="831271"/>
        </a:xfrm>
      </xdr:grpSpPr>
      <xdr:sp macro="" textlink="">
        <xdr:nvSpPr>
          <xdr:cNvPr id="7" name="Rectangle: Rounded Corners 6">
            <a:extLst>
              <a:ext uri="{FF2B5EF4-FFF2-40B4-BE49-F238E27FC236}">
                <a16:creationId xmlns:a16="http://schemas.microsoft.com/office/drawing/2014/main" id="{8276DBEB-7D18-275A-2029-F006EAC774FE}"/>
              </a:ext>
            </a:extLst>
          </xdr:cNvPr>
          <xdr:cNvSpPr/>
        </xdr:nvSpPr>
        <xdr:spPr>
          <a:xfrm>
            <a:off x="2308544" y="988303"/>
            <a:ext cx="1882027" cy="831271"/>
          </a:xfrm>
          <a:prstGeom prst="roundRect">
            <a:avLst/>
          </a:prstGeom>
          <a:solidFill>
            <a:schemeClr val="accent6">
              <a:lumMod val="60000"/>
              <a:lumOff val="40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a:t>📥</a:t>
            </a:r>
            <a:r>
              <a:rPr lang="en-IN" sz="1600" b="1" i="0" u="none" strike="noStrike">
                <a:solidFill>
                  <a:schemeClr val="tx1">
                    <a:lumMod val="95000"/>
                    <a:lumOff val="5000"/>
                  </a:schemeClr>
                </a:solidFill>
                <a:effectLst/>
                <a:latin typeface="+mn-lt"/>
                <a:ea typeface="+mn-ea"/>
                <a:cs typeface="+mn-cs"/>
              </a:rPr>
              <a:t>Total Discharged 124853 </a:t>
            </a:r>
          </a:p>
        </xdr:txBody>
      </xdr:sp>
      <xdr:sp macro="" textlink="">
        <xdr:nvSpPr>
          <xdr:cNvPr id="8" name="Rectangle: Rounded Corners 7">
            <a:extLst>
              <a:ext uri="{FF2B5EF4-FFF2-40B4-BE49-F238E27FC236}">
                <a16:creationId xmlns:a16="http://schemas.microsoft.com/office/drawing/2014/main" id="{694F307B-A570-10A8-1ED5-459175D779E5}"/>
              </a:ext>
            </a:extLst>
          </xdr:cNvPr>
          <xdr:cNvSpPr/>
        </xdr:nvSpPr>
        <xdr:spPr>
          <a:xfrm>
            <a:off x="4379384" y="988303"/>
            <a:ext cx="1777253" cy="819046"/>
          </a:xfrm>
          <a:prstGeom prst="roundRect">
            <a:avLst/>
          </a:prstGeom>
          <a:solidFill>
            <a:schemeClr val="accent3">
              <a:lumMod val="60000"/>
              <a:lumOff val="40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a:t>🏥</a:t>
            </a:r>
            <a:r>
              <a:rPr lang="en-IN" sz="1600" b="1" i="0" u="none" strike="noStrike">
                <a:solidFill>
                  <a:schemeClr val="tx1">
                    <a:lumMod val="95000"/>
                    <a:lumOff val="5000"/>
                  </a:schemeClr>
                </a:solidFill>
                <a:effectLst/>
                <a:latin typeface="+mn-lt"/>
                <a:ea typeface="+mn-ea"/>
                <a:cs typeface="+mn-cs"/>
              </a:rPr>
              <a:t>Average HHS Care 6061 </a:t>
            </a:r>
          </a:p>
        </xdr:txBody>
      </xdr:sp>
      <xdr:sp macro="" textlink="">
        <xdr:nvSpPr>
          <xdr:cNvPr id="9" name="Rectangle: Rounded Corners 8">
            <a:extLst>
              <a:ext uri="{FF2B5EF4-FFF2-40B4-BE49-F238E27FC236}">
                <a16:creationId xmlns:a16="http://schemas.microsoft.com/office/drawing/2014/main" id="{7513C525-C410-6D74-790E-1F1002DA522F}"/>
              </a:ext>
            </a:extLst>
          </xdr:cNvPr>
          <xdr:cNvSpPr/>
        </xdr:nvSpPr>
        <xdr:spPr>
          <a:xfrm>
            <a:off x="8512645" y="988303"/>
            <a:ext cx="1920128" cy="81904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a:t>📉 </a:t>
            </a:r>
            <a:r>
              <a:rPr lang="en-IN" sz="1600" b="1" i="0" u="none" strike="noStrike">
                <a:solidFill>
                  <a:schemeClr val="tx1">
                    <a:lumMod val="95000"/>
                    <a:lumOff val="5000"/>
                  </a:schemeClr>
                </a:solidFill>
                <a:effectLst/>
                <a:latin typeface="+mn-lt"/>
                <a:ea typeface="+mn-ea"/>
                <a:cs typeface="+mn-cs"/>
              </a:rPr>
              <a:t>Minimum HHS Care 1972 </a:t>
            </a:r>
          </a:p>
        </xdr:txBody>
      </xdr:sp>
      <xdr:sp macro="" textlink="">
        <xdr:nvSpPr>
          <xdr:cNvPr id="11" name="Rectangle: Rounded Corners 10">
            <a:extLst>
              <a:ext uri="{FF2B5EF4-FFF2-40B4-BE49-F238E27FC236}">
                <a16:creationId xmlns:a16="http://schemas.microsoft.com/office/drawing/2014/main" id="{EFFDAC98-E520-0F41-CA11-802158A9492D}"/>
              </a:ext>
            </a:extLst>
          </xdr:cNvPr>
          <xdr:cNvSpPr/>
        </xdr:nvSpPr>
        <xdr:spPr>
          <a:xfrm>
            <a:off x="6323034" y="988303"/>
            <a:ext cx="2005853" cy="819047"/>
          </a:xfrm>
          <a:prstGeom prst="roundRect">
            <a:avLst/>
          </a:prstGeom>
          <a:solidFill>
            <a:schemeClr val="accent6">
              <a:lumMod val="60000"/>
              <a:lumOff val="40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a:t>📈 </a:t>
            </a:r>
            <a:r>
              <a:rPr lang="en-IN" sz="1600" b="1" i="0" u="none" strike="noStrike">
                <a:solidFill>
                  <a:schemeClr val="tx1">
                    <a:lumMod val="95000"/>
                    <a:lumOff val="5000"/>
                  </a:schemeClr>
                </a:solidFill>
                <a:effectLst/>
                <a:latin typeface="+mn-lt"/>
                <a:ea typeface="+mn-ea"/>
                <a:cs typeface="+mn-cs"/>
              </a:rPr>
              <a:t>Maximum HHS Care  11516 </a:t>
            </a:r>
          </a:p>
        </xdr:txBody>
      </xdr:sp>
      <xdr:sp macro="" textlink="">
        <xdr:nvSpPr>
          <xdr:cNvPr id="10" name="Rectangle: Rounded Corners 9">
            <a:extLst>
              <a:ext uri="{FF2B5EF4-FFF2-40B4-BE49-F238E27FC236}">
                <a16:creationId xmlns:a16="http://schemas.microsoft.com/office/drawing/2014/main" id="{FD035390-D675-D5DF-6E6D-EA17FCE24512}"/>
              </a:ext>
            </a:extLst>
          </xdr:cNvPr>
          <xdr:cNvSpPr/>
        </xdr:nvSpPr>
        <xdr:spPr>
          <a:xfrm>
            <a:off x="10674793" y="988303"/>
            <a:ext cx="1680881" cy="806824"/>
          </a:xfrm>
          <a:prstGeom prst="roundRect">
            <a:avLst/>
          </a:prstGeom>
          <a:solidFill>
            <a:srgbClr val="E75E39"/>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a:t>⚠️ </a:t>
            </a:r>
            <a:r>
              <a:rPr lang="en-IN" sz="1600" b="1" i="0" u="none" strike="noStrike">
                <a:solidFill>
                  <a:schemeClr val="tx1">
                    <a:lumMod val="95000"/>
                    <a:lumOff val="5000"/>
                  </a:schemeClr>
                </a:solidFill>
                <a:effectLst/>
                <a:latin typeface="+mn-lt"/>
                <a:ea typeface="+mn-ea"/>
                <a:cs typeface="+mn-cs"/>
              </a:rPr>
              <a:t>Net Intake</a:t>
            </a:r>
          </a:p>
          <a:p>
            <a:pPr marL="0" indent="0" algn="ctr"/>
            <a:r>
              <a:rPr lang="en-IN" sz="1600" b="1" i="0" u="none" strike="noStrike">
                <a:solidFill>
                  <a:schemeClr val="tx1">
                    <a:lumMod val="95000"/>
                    <a:lumOff val="5000"/>
                  </a:schemeClr>
                </a:solidFill>
                <a:effectLst/>
                <a:latin typeface="+mn-lt"/>
                <a:ea typeface="+mn-ea"/>
                <a:cs typeface="+mn-cs"/>
              </a:rPr>
              <a:t>    -57516 </a:t>
            </a:r>
          </a:p>
        </xdr:txBody>
      </xdr:sp>
      <xdr:sp macro="" textlink="">
        <xdr:nvSpPr>
          <xdr:cNvPr id="18" name="Rectangle: Rounded Corners 17">
            <a:extLst>
              <a:ext uri="{FF2B5EF4-FFF2-40B4-BE49-F238E27FC236}">
                <a16:creationId xmlns:a16="http://schemas.microsoft.com/office/drawing/2014/main" id="{CEB8E9B7-0600-1695-6A14-9B00A5A960CE}"/>
              </a:ext>
            </a:extLst>
          </xdr:cNvPr>
          <xdr:cNvSpPr/>
        </xdr:nvSpPr>
        <xdr:spPr>
          <a:xfrm>
            <a:off x="98189" y="988303"/>
            <a:ext cx="2024342" cy="820067"/>
          </a:xfrm>
          <a:prstGeom prst="roundRect">
            <a:avLst/>
          </a:prstGeom>
          <a:solidFill>
            <a:schemeClr val="accent3">
              <a:lumMod val="60000"/>
              <a:lumOff val="40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a:t>📥</a:t>
            </a:r>
            <a:r>
              <a:rPr lang="en-IN" sz="1600" b="1" i="0" u="none" strike="noStrike">
                <a:solidFill>
                  <a:schemeClr val="tx1">
                    <a:lumMod val="95000"/>
                    <a:lumOff val="5000"/>
                  </a:schemeClr>
                </a:solidFill>
                <a:effectLst/>
                <a:latin typeface="+mn-lt"/>
                <a:ea typeface="+mn-ea"/>
                <a:cs typeface="+mn-cs"/>
              </a:rPr>
              <a:t>Total Apprehended 67337 </a:t>
            </a:r>
          </a:p>
        </xdr:txBody>
      </xdr:sp>
    </xdr:grpSp>
    <xdr:clientData/>
  </xdr:twoCellAnchor>
  <xdr:twoCellAnchor>
    <xdr:from>
      <xdr:col>0</xdr:col>
      <xdr:colOff>0</xdr:colOff>
      <xdr:row>8</xdr:row>
      <xdr:rowOff>95250</xdr:rowOff>
    </xdr:from>
    <xdr:to>
      <xdr:col>22</xdr:col>
      <xdr:colOff>0</xdr:colOff>
      <xdr:row>8</xdr:row>
      <xdr:rowOff>95250</xdr:rowOff>
    </xdr:to>
    <xdr:cxnSp macro="">
      <xdr:nvCxnSpPr>
        <xdr:cNvPr id="22" name="Straight Connector 21">
          <a:extLst>
            <a:ext uri="{FF2B5EF4-FFF2-40B4-BE49-F238E27FC236}">
              <a16:creationId xmlns:a16="http://schemas.microsoft.com/office/drawing/2014/main" id="{515DE1B2-5879-6425-256A-C2D849214962}"/>
            </a:ext>
          </a:extLst>
        </xdr:cNvPr>
        <xdr:cNvCxnSpPr/>
      </xdr:nvCxnSpPr>
      <xdr:spPr>
        <a:xfrm>
          <a:off x="0" y="1986643"/>
          <a:ext cx="13471071" cy="0"/>
        </a:xfrm>
        <a:prstGeom prst="line">
          <a:avLst/>
        </a:prstGeom>
        <a:ln w="34925"/>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453016</xdr:colOff>
      <xdr:row>24</xdr:row>
      <xdr:rowOff>0</xdr:rowOff>
    </xdr:from>
    <xdr:to>
      <xdr:col>21</xdr:col>
      <xdr:colOff>34678</xdr:colOff>
      <xdr:row>36</xdr:row>
      <xdr:rowOff>155448</xdr:rowOff>
    </xdr:to>
    <xdr:sp macro="" textlink="">
      <xdr:nvSpPr>
        <xdr:cNvPr id="25" name="Rectangle: Rounded Corners 24">
          <a:extLst>
            <a:ext uri="{FF2B5EF4-FFF2-40B4-BE49-F238E27FC236}">
              <a16:creationId xmlns:a16="http://schemas.microsoft.com/office/drawing/2014/main" id="{6279BBC2-85A9-6D59-9C3A-A4AE5BF8C0D3}"/>
            </a:ext>
          </a:extLst>
        </xdr:cNvPr>
        <xdr:cNvSpPr/>
      </xdr:nvSpPr>
      <xdr:spPr>
        <a:xfrm>
          <a:off x="9025516" y="4939393"/>
          <a:ext cx="3867912" cy="2441448"/>
        </a:xfrm>
        <a:prstGeom prst="roundRect">
          <a:avLst/>
        </a:prstGeom>
        <a:solidFill>
          <a:schemeClr val="accent3">
            <a:lumMod val="60000"/>
            <a:lumOff val="40000"/>
          </a:schemeClr>
        </a:solidFill>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600" b="1">
              <a:solidFill>
                <a:schemeClr val="tx1"/>
              </a:solidFill>
              <a:latin typeface="+mn-lt"/>
              <a:ea typeface="+mn-ea"/>
              <a:cs typeface="+mn-cs"/>
            </a:rPr>
            <a:t>Key Insights  :-</a:t>
          </a:r>
        </a:p>
        <a:p>
          <a:pPr marL="0" indent="0" algn="l"/>
          <a:endParaRPr lang="en-IN" sz="1600" b="1">
            <a:solidFill>
              <a:schemeClr val="tx1"/>
            </a:solidFill>
            <a:latin typeface="+mn-lt"/>
            <a:ea typeface="+mn-ea"/>
            <a:cs typeface="+mn-cs"/>
          </a:endParaRPr>
        </a:p>
        <a:p>
          <a:pPr marL="0" indent="0" algn="l"/>
          <a:r>
            <a:rPr lang="en-IN" sz="1600" b="1">
              <a:solidFill>
                <a:schemeClr val="tx1"/>
              </a:solidFill>
              <a:latin typeface="+mn-lt"/>
              <a:ea typeface="+mn-ea"/>
              <a:cs typeface="+mn-cs"/>
            </a:rPr>
            <a:t>• Peak HHS Care : 11,516</a:t>
          </a:r>
        </a:p>
        <a:p>
          <a:pPr marL="0" indent="0" algn="l"/>
          <a:r>
            <a:rPr lang="en-IN" sz="1600" b="1">
              <a:solidFill>
                <a:schemeClr val="tx1"/>
              </a:solidFill>
              <a:latin typeface="+mn-lt"/>
              <a:ea typeface="+mn-ea"/>
              <a:cs typeface="+mn-cs"/>
            </a:rPr>
            <a:t>• Average HHS Care : 6,061</a:t>
          </a:r>
        </a:p>
        <a:p>
          <a:pPr marL="0" indent="0" algn="l"/>
          <a:r>
            <a:rPr lang="en-IN" sz="1600" b="1">
              <a:solidFill>
                <a:schemeClr val="tx1"/>
              </a:solidFill>
              <a:latin typeface="+mn-lt"/>
              <a:ea typeface="+mn-ea"/>
              <a:cs typeface="+mn-cs"/>
            </a:rPr>
            <a:t>• Total Children Discharged : 124,853</a:t>
          </a:r>
        </a:p>
        <a:p>
          <a:pPr marL="0" indent="0" algn="l"/>
          <a:r>
            <a:rPr lang="en-IN" sz="1600" b="1">
              <a:solidFill>
                <a:schemeClr val="tx1"/>
              </a:solidFill>
              <a:latin typeface="+mn-lt"/>
              <a:ea typeface="+mn-ea"/>
              <a:cs typeface="+mn-cs"/>
            </a:rPr>
            <a:t>• Net Intake : -57,516</a:t>
          </a:r>
        </a:p>
        <a:p>
          <a:pPr marL="0" indent="0" algn="l"/>
          <a:r>
            <a:rPr lang="en-IN" sz="1600" b="1">
              <a:solidFill>
                <a:schemeClr val="tx1"/>
              </a:solidFill>
              <a:latin typeface="+mn-lt"/>
              <a:ea typeface="+mn-ea"/>
              <a:cs typeface="+mn-cs"/>
            </a:rPr>
            <a:t>• Highest Capacity observed in late 2023</a:t>
          </a:r>
        </a:p>
      </xdr:txBody>
    </xdr:sp>
    <xdr:clientData/>
  </xdr:twoCellAnchor>
  <xdr:twoCellAnchor>
    <xdr:from>
      <xdr:col>0</xdr:col>
      <xdr:colOff>456941</xdr:colOff>
      <xdr:row>39</xdr:row>
      <xdr:rowOff>122464</xdr:rowOff>
    </xdr:from>
    <xdr:to>
      <xdr:col>14</xdr:col>
      <xdr:colOff>115241</xdr:colOff>
      <xdr:row>45</xdr:row>
      <xdr:rowOff>122464</xdr:rowOff>
    </xdr:to>
    <xdr:sp macro="" textlink="">
      <xdr:nvSpPr>
        <xdr:cNvPr id="26" name="Rectangle: Rounded Corners 25">
          <a:extLst>
            <a:ext uri="{FF2B5EF4-FFF2-40B4-BE49-F238E27FC236}">
              <a16:creationId xmlns:a16="http://schemas.microsoft.com/office/drawing/2014/main" id="{FE1D9C7C-1A2C-500A-1F33-A6D5279C25D3}"/>
            </a:ext>
          </a:extLst>
        </xdr:cNvPr>
        <xdr:cNvSpPr/>
      </xdr:nvSpPr>
      <xdr:spPr>
        <a:xfrm>
          <a:off x="456941" y="7919357"/>
          <a:ext cx="8230800" cy="1143000"/>
        </a:xfrm>
        <a:prstGeom prst="roundRect">
          <a:avLst/>
        </a:prstGeom>
        <a:solidFill>
          <a:schemeClr val="accent3">
            <a:lumMod val="60000"/>
            <a:lumOff val="40000"/>
          </a:schemeClr>
        </a:solidFill>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600" b="1">
              <a:solidFill>
                <a:schemeClr val="tx1"/>
              </a:solidFill>
              <a:latin typeface="+mn-lt"/>
              <a:ea typeface="+mn-ea"/>
              <a:cs typeface="+mn-cs"/>
            </a:rPr>
            <a:t>Prepared by:                                                                      Healthcare Analytics Dashboard</a:t>
          </a:r>
        </a:p>
        <a:p>
          <a:pPr marL="0" indent="0" algn="l"/>
          <a:r>
            <a:rPr lang="en-IN" sz="1600" b="1">
              <a:solidFill>
                <a:schemeClr val="tx1"/>
              </a:solidFill>
              <a:latin typeface="+mn-lt"/>
              <a:ea typeface="+mn-ea"/>
              <a:cs typeface="+mn-cs"/>
            </a:rPr>
            <a:t>Shraddha Bajirao Patil                                                     Python | Excel | Forecasting</a:t>
          </a:r>
        </a:p>
        <a:p>
          <a:pPr marL="0" indent="0" algn="l"/>
          <a:r>
            <a:rPr lang="en-IN" sz="1600" b="1">
              <a:solidFill>
                <a:schemeClr val="tx1"/>
              </a:solidFill>
              <a:latin typeface="+mn-lt"/>
              <a:ea typeface="+mn-ea"/>
              <a:cs typeface="+mn-cs"/>
            </a:rPr>
            <a:t>                              </a:t>
          </a:r>
        </a:p>
      </xdr:txBody>
    </xdr:sp>
    <xdr:clientData/>
  </xdr:twoCellAnchor>
  <xdr:twoCellAnchor>
    <xdr:from>
      <xdr:col>8</xdr:col>
      <xdr:colOff>0</xdr:colOff>
      <xdr:row>9</xdr:row>
      <xdr:rowOff>33618</xdr:rowOff>
    </xdr:from>
    <xdr:to>
      <xdr:col>14</xdr:col>
      <xdr:colOff>193983</xdr:colOff>
      <xdr:row>21</xdr:row>
      <xdr:rowOff>189066</xdr:rowOff>
    </xdr:to>
    <xdr:graphicFrame macro="">
      <xdr:nvGraphicFramePr>
        <xdr:cNvPr id="30" name="Chart 29">
          <a:extLst>
            <a:ext uri="{FF2B5EF4-FFF2-40B4-BE49-F238E27FC236}">
              <a16:creationId xmlns:a16="http://schemas.microsoft.com/office/drawing/2014/main" id="{08AD6A10-D288-F6B6-E004-C52766279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13186</xdr:colOff>
      <xdr:row>9</xdr:row>
      <xdr:rowOff>33618</xdr:rowOff>
    </xdr:from>
    <xdr:to>
      <xdr:col>7</xdr:col>
      <xdr:colOff>26633</xdr:colOff>
      <xdr:row>22</xdr:row>
      <xdr:rowOff>26816</xdr:rowOff>
    </xdr:to>
    <mc:AlternateContent xmlns:mc="http://schemas.openxmlformats.org/markup-compatibility/2006">
      <mc:Choice xmlns:a14="http://schemas.microsoft.com/office/drawing/2010/main" Requires="a14">
        <xdr:graphicFrame macro="">
          <xdr:nvGraphicFramePr>
            <xdr:cNvPr id="31" name="Date (Year) 1">
              <a:extLst>
                <a:ext uri="{FF2B5EF4-FFF2-40B4-BE49-F238E27FC236}">
                  <a16:creationId xmlns:a16="http://schemas.microsoft.com/office/drawing/2014/main" id="{BDF96565-BBBB-E93F-082A-DE2CF661D730}"/>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2462472" y="2115511"/>
              <a:ext cx="1850411" cy="2469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368333</xdr:colOff>
      <xdr:row>9</xdr:row>
      <xdr:rowOff>33618</xdr:rowOff>
    </xdr:from>
    <xdr:to>
      <xdr:col>3</xdr:col>
      <xdr:colOff>381780</xdr:colOff>
      <xdr:row>22</xdr:row>
      <xdr:rowOff>81243</xdr:rowOff>
    </xdr:to>
    <mc:AlternateContent xmlns:mc="http://schemas.openxmlformats.org/markup-compatibility/2006">
      <mc:Choice xmlns:a14="http://schemas.microsoft.com/office/drawing/2010/main" Requires="a14">
        <xdr:graphicFrame macro="">
          <xdr:nvGraphicFramePr>
            <xdr:cNvPr id="32" name="Date (Month) 1">
              <a:extLst>
                <a:ext uri="{FF2B5EF4-FFF2-40B4-BE49-F238E27FC236}">
                  <a16:creationId xmlns:a16="http://schemas.microsoft.com/office/drawing/2014/main" id="{DA0CC01B-169D-F0B3-D48F-647F9436C24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368333" y="2115511"/>
              <a:ext cx="185041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213.518342592593" backgroundQuery="1" createdVersion="8" refreshedVersion="8" minRefreshableVersion="3" recordCount="0" supportSubquery="1" supportAdvancedDrill="1" xr:uid="{BCD9FD7F-68A9-48A1-B93E-63E042432101}">
  <cacheSource type="external" connectionId="1"/>
  <cacheFields count="3">
    <cacheField name="[Table1].[Date (Month)].[Date (Month)]" caption="Date (Month)" numFmtId="0" hierarchy="9" level="1">
      <sharedItems count="12">
        <s v="Jan"/>
        <s v="Feb"/>
        <s v="Mar"/>
        <s v="Apr"/>
        <s v="May"/>
        <s v="Jun"/>
        <s v="Jul"/>
        <s v="Aug"/>
        <s v="Sep"/>
        <s v="Oct"/>
        <s v="Nov"/>
        <s v="Dec"/>
      </sharedItems>
    </cacheField>
    <cacheField name="[Table1].[Date (Year)].[Date (Year)]" caption="Date (Year)" numFmtId="0" hierarchy="7" level="1">
      <sharedItems count="3">
        <s v="2023"/>
        <s v="2024"/>
        <s v="2025"/>
      </sharedItems>
    </cacheField>
    <cacheField name="[Measures].[Average of Children in HHS Care]" caption="Average of Children in HHS Care" numFmtId="0" hierarchy="14" level="32767"/>
  </cacheFields>
  <cacheHierarchies count="20">
    <cacheHierarchy uniqueName="[Table1].[Date]" caption="Date" attribute="1" time="1" defaultMemberUniqueName="[Table1].[Date].[All]" allUniqueName="[Table1].[Date].[All]" dimensionUniqueName="[Table1]" displayFolder="" count="0" memberValueDatatype="7" unbalanced="0"/>
    <cacheHierarchy uniqueName="[Table1].[Children apprehended and placed in CBP custody*]" caption="Children apprehended and placed in CBP custody*" attribute="1" defaultMemberUniqueName="[Table1].[Children apprehended and placed in CBP custody*].[All]" allUniqueName="[Table1].[Children apprehended and placed in CBP custody*].[All]" dimensionUniqueName="[Table1]" displayFolder="" count="0" memberValueDatatype="20" unbalanced="0"/>
    <cacheHierarchy uniqueName="[Table1].[Children in CBP custody]" caption="Children in CBP custody" attribute="1" defaultMemberUniqueName="[Table1].[Children in CBP custody].[All]" allUniqueName="[Table1].[Children in CBP custody].[All]" dimensionUniqueName="[Table1]" displayFolder="" count="0" memberValueDatatype="20" unbalanced="0"/>
    <cacheHierarchy uniqueName="[Table1].[Children transferred out of CBP custody]" caption="Children transferred out of CBP custody" attribute="1" defaultMemberUniqueName="[Table1].[Children transferred out of CBP custody].[All]" allUniqueName="[Table1].[Children transferred out of CBP custody].[All]" dimensionUniqueName="[Table1]" displayFolder="" count="0" memberValueDatatype="20" unbalanced="0"/>
    <cacheHierarchy uniqueName="[Table1].[Children in HHS Care]" caption="Children in HHS Care" attribute="1" defaultMemberUniqueName="[Table1].[Children in HHS Care].[All]" allUniqueName="[Table1].[Children in HHS Care].[All]" dimensionUniqueName="[Table1]" displayFolder="" count="0" memberValueDatatype="20" unbalanced="0"/>
    <cacheHierarchy uniqueName="[Table1].[Children discharged from HHS Care]" caption="Children discharged from HHS Care" attribute="1" defaultMemberUniqueName="[Table1].[Children discharged from HHS Care].[All]" allUniqueName="[Table1].[Children discharged from HHS Care].[All]" dimensionUniqueName="[Table1]" displayFolder="" count="0" memberValueDatatype="20" unbalanced="0"/>
    <cacheHierarchy uniqueName="[Table1].[intake]" caption="intake" attribute="1" defaultMemberUniqueName="[Table1].[intake].[All]" allUniqueName="[Table1].[intake].[All]" dimensionUniqueName="[Table1]" displayFolder="" count="0" memberValueDatatype="2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1"/>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ildren in HHS Care]" caption="Sum of Children in HHS Care" measure="1" displayFolder="" measureGroup="Table1" count="0" hidden="1">
      <extLst>
        <ext xmlns:x15="http://schemas.microsoft.com/office/spreadsheetml/2010/11/main" uri="{B97F6D7D-B522-45F9-BDA1-12C45D357490}">
          <x15:cacheHierarchy aggregatedColumn="4"/>
        </ext>
      </extLst>
    </cacheHierarchy>
    <cacheHierarchy uniqueName="[Measures].[Average of Children in HHS Care]" caption="Average of Children in HHS Care"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Children in CBP custody]" caption="Sum of Children in CBP custody" measure="1" displayFolder="" measureGroup="Table1" count="0" hidden="1">
      <extLst>
        <ext xmlns:x15="http://schemas.microsoft.com/office/spreadsheetml/2010/11/main" uri="{B97F6D7D-B522-45F9-BDA1-12C45D357490}">
          <x15:cacheHierarchy aggregatedColumn="2"/>
        </ext>
      </extLst>
    </cacheHierarchy>
    <cacheHierarchy uniqueName="[Measures].[Average of Children in CBP custody]" caption="Average of Children in CBP custody" measure="1" displayFolder="" measureGroup="Table1" count="0" hidden="1">
      <extLst>
        <ext xmlns:x15="http://schemas.microsoft.com/office/spreadsheetml/2010/11/main" uri="{B97F6D7D-B522-45F9-BDA1-12C45D357490}">
          <x15:cacheHierarchy aggregatedColumn="2"/>
        </ext>
      </extLst>
    </cacheHierarchy>
    <cacheHierarchy uniqueName="[Measures].[Sum of intake]" caption="Sum of intake" measure="1" displayFolder="" measureGroup="Table1" count="0" hidden="1">
      <extLst>
        <ext xmlns:x15="http://schemas.microsoft.com/office/spreadsheetml/2010/11/main" uri="{B97F6D7D-B522-45F9-BDA1-12C45D357490}">
          <x15:cacheHierarchy aggregatedColumn="6"/>
        </ext>
      </extLst>
    </cacheHierarchy>
    <cacheHierarchy uniqueName="[Measures].[Sum of Children transferred out of CBP custody]" caption="Sum of Children transferred out of CBP custody" measure="1" displayFolder="" measureGroup="Table1" count="0" hidden="1">
      <extLst>
        <ext xmlns:x15="http://schemas.microsoft.com/office/spreadsheetml/2010/11/main" uri="{B97F6D7D-B522-45F9-BDA1-12C45D357490}">
          <x15:cacheHierarchy aggregatedColumn="3"/>
        </ext>
      </extLst>
    </cacheHierarchy>
    <cacheHierarchy uniqueName="[Measures].[Sum of Children discharged from HHS Care]" caption="Sum of Children discharged from HHS Car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213.51834328704" backgroundQuery="1" createdVersion="8" refreshedVersion="8" minRefreshableVersion="3" recordCount="0" supportSubquery="1" supportAdvancedDrill="1" xr:uid="{A0BB4666-9DEC-443F-AF92-171068A15D02}">
  <cacheSource type="external" connectionId="1"/>
  <cacheFields count="4">
    <cacheField name="[Measures].[Average of Children in CBP custody]" caption="Average of Children in CBP custody" numFmtId="0" hierarchy="16" level="32767"/>
    <cacheField name="[Measures].[Average of Children in HHS Care]" caption="Average of Children in HHS Care" numFmtId="0" hierarchy="14" level="32767"/>
    <cacheField name="[Table1].[Date (Month)].[Date (Month)]" caption="Date (Month)" numFmtId="0" hierarchy="9" level="1">
      <sharedItems count="12">
        <s v="Jan"/>
        <s v="Feb"/>
        <s v="Mar"/>
        <s v="Apr"/>
        <s v="May"/>
        <s v="Jun"/>
        <s v="Jul"/>
        <s v="Aug"/>
        <s v="Sep"/>
        <s v="Oct"/>
        <s v="Nov"/>
        <s v="Dec"/>
      </sharedItems>
    </cacheField>
    <cacheField name="[Table1].[Date (Year)].[Date (Year)]" caption="Date (Year)" numFmtId="0" hierarchy="7" level="1">
      <sharedItems count="3">
        <s v="2023"/>
        <s v="2024"/>
        <s v="2025"/>
      </sharedItems>
    </cacheField>
  </cacheFields>
  <cacheHierarchies count="20">
    <cacheHierarchy uniqueName="[Table1].[Date]" caption="Date" attribute="1" time="1" defaultMemberUniqueName="[Table1].[Date].[All]" allUniqueName="[Table1].[Date].[All]" dimensionUniqueName="[Table1]" displayFolder="" count="0" memberValueDatatype="7" unbalanced="0"/>
    <cacheHierarchy uniqueName="[Table1].[Children apprehended and placed in CBP custody*]" caption="Children apprehended and placed in CBP custody*" attribute="1" defaultMemberUniqueName="[Table1].[Children apprehended and placed in CBP custody*].[All]" allUniqueName="[Table1].[Children apprehended and placed in CBP custody*].[All]" dimensionUniqueName="[Table1]" displayFolder="" count="0" memberValueDatatype="20" unbalanced="0"/>
    <cacheHierarchy uniqueName="[Table1].[Children in CBP custody]" caption="Children in CBP custody" attribute="1" defaultMemberUniqueName="[Table1].[Children in CBP custody].[All]" allUniqueName="[Table1].[Children in CBP custody].[All]" dimensionUniqueName="[Table1]" displayFolder="" count="0" memberValueDatatype="20" unbalanced="0"/>
    <cacheHierarchy uniqueName="[Table1].[Children transferred out of CBP custody]" caption="Children transferred out of CBP custody" attribute="1" defaultMemberUniqueName="[Table1].[Children transferred out of CBP custody].[All]" allUniqueName="[Table1].[Children transferred out of CBP custody].[All]" dimensionUniqueName="[Table1]" displayFolder="" count="0" memberValueDatatype="20" unbalanced="0"/>
    <cacheHierarchy uniqueName="[Table1].[Children in HHS Care]" caption="Children in HHS Care" attribute="1" defaultMemberUniqueName="[Table1].[Children in HHS Care].[All]" allUniqueName="[Table1].[Children in HHS Care].[All]" dimensionUniqueName="[Table1]" displayFolder="" count="0" memberValueDatatype="20" unbalanced="0"/>
    <cacheHierarchy uniqueName="[Table1].[Children discharged from HHS Care]" caption="Children discharged from HHS Care" attribute="1" defaultMemberUniqueName="[Table1].[Children discharged from HHS Care].[All]" allUniqueName="[Table1].[Children discharged from HHS Care].[All]" dimensionUniqueName="[Table1]" displayFolder="" count="0" memberValueDatatype="20" unbalanced="0"/>
    <cacheHierarchy uniqueName="[Table1].[intake]" caption="intake" attribute="1" defaultMemberUniqueName="[Table1].[intake].[All]" allUniqueName="[Table1].[intake].[All]" dimensionUniqueName="[Table1]" displayFolder="" count="0" memberValueDatatype="2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3"/>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ildren in HHS Care]" caption="Sum of Children in HHS Care" measure="1" displayFolder="" measureGroup="Table1" count="0" hidden="1">
      <extLst>
        <ext xmlns:x15="http://schemas.microsoft.com/office/spreadsheetml/2010/11/main" uri="{B97F6D7D-B522-45F9-BDA1-12C45D357490}">
          <x15:cacheHierarchy aggregatedColumn="4"/>
        </ext>
      </extLst>
    </cacheHierarchy>
    <cacheHierarchy uniqueName="[Measures].[Average of Children in HHS Care]" caption="Average of Children in HHS Care"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hildren in CBP custody]" caption="Sum of Children in CBP custody" measure="1" displayFolder="" measureGroup="Table1" count="0" hidden="1">
      <extLst>
        <ext xmlns:x15="http://schemas.microsoft.com/office/spreadsheetml/2010/11/main" uri="{B97F6D7D-B522-45F9-BDA1-12C45D357490}">
          <x15:cacheHierarchy aggregatedColumn="2"/>
        </ext>
      </extLst>
    </cacheHierarchy>
    <cacheHierarchy uniqueName="[Measures].[Average of Children in CBP custody]" caption="Average of Children in CBP custody"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intake]" caption="Sum of intake" measure="1" displayFolder="" measureGroup="Table1" count="0" hidden="1">
      <extLst>
        <ext xmlns:x15="http://schemas.microsoft.com/office/spreadsheetml/2010/11/main" uri="{B97F6D7D-B522-45F9-BDA1-12C45D357490}">
          <x15:cacheHierarchy aggregatedColumn="6"/>
        </ext>
      </extLst>
    </cacheHierarchy>
    <cacheHierarchy uniqueName="[Measures].[Sum of Children transferred out of CBP custody]" caption="Sum of Children transferred out of CBP custody" measure="1" displayFolder="" measureGroup="Table1" count="0" hidden="1">
      <extLst>
        <ext xmlns:x15="http://schemas.microsoft.com/office/spreadsheetml/2010/11/main" uri="{B97F6D7D-B522-45F9-BDA1-12C45D357490}">
          <x15:cacheHierarchy aggregatedColumn="3"/>
        </ext>
      </extLst>
    </cacheHierarchy>
    <cacheHierarchy uniqueName="[Measures].[Sum of Children discharged from HHS Care]" caption="Sum of Children discharged from HHS Car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213.51834386574" backgroundQuery="1" createdVersion="8" refreshedVersion="8" minRefreshableVersion="3" recordCount="0" supportSubquery="1" supportAdvancedDrill="1" xr:uid="{2D51B67E-AA66-4A5E-BD31-D689FCAD09CC}">
  <cacheSource type="external" connectionId="1"/>
  <cacheFields count="3">
    <cacheField name="[Table1].[Date (Month)].[Date (Month)]" caption="Date (Month)" numFmtId="0" hierarchy="9" level="1">
      <sharedItems count="12">
        <s v="Jan"/>
        <s v="Feb"/>
        <s v="Mar"/>
        <s v="Apr"/>
        <s v="May"/>
        <s v="Jun"/>
        <s v="Jul"/>
        <s v="Aug"/>
        <s v="Sep"/>
        <s v="Oct"/>
        <s v="Nov"/>
        <s v="Dec"/>
      </sharedItems>
    </cacheField>
    <cacheField name="[Table1].[Date (Year)].[Date (Year)]" caption="Date (Year)" numFmtId="0" hierarchy="7" level="1">
      <sharedItems count="3">
        <s v="2023"/>
        <s v="2024"/>
        <s v="2025"/>
      </sharedItems>
    </cacheField>
    <cacheField name="[Measures].[Sum of intake]" caption="Sum of intake" numFmtId="0" hierarchy="17" level="32767"/>
  </cacheFields>
  <cacheHierarchies count="20">
    <cacheHierarchy uniqueName="[Table1].[Date]" caption="Date" attribute="1" time="1" defaultMemberUniqueName="[Table1].[Date].[All]" allUniqueName="[Table1].[Date].[All]" dimensionUniqueName="[Table1]" displayFolder="" count="0" memberValueDatatype="7" unbalanced="0"/>
    <cacheHierarchy uniqueName="[Table1].[Children apprehended and placed in CBP custody*]" caption="Children apprehended and placed in CBP custody*" attribute="1" defaultMemberUniqueName="[Table1].[Children apprehended and placed in CBP custody*].[All]" allUniqueName="[Table1].[Children apprehended and placed in CBP custody*].[All]" dimensionUniqueName="[Table1]" displayFolder="" count="0" memberValueDatatype="20" unbalanced="0"/>
    <cacheHierarchy uniqueName="[Table1].[Children in CBP custody]" caption="Children in CBP custody" attribute="1" defaultMemberUniqueName="[Table1].[Children in CBP custody].[All]" allUniqueName="[Table1].[Children in CBP custody].[All]" dimensionUniqueName="[Table1]" displayFolder="" count="0" memberValueDatatype="20" unbalanced="0"/>
    <cacheHierarchy uniqueName="[Table1].[Children transferred out of CBP custody]" caption="Children transferred out of CBP custody" attribute="1" defaultMemberUniqueName="[Table1].[Children transferred out of CBP custody].[All]" allUniqueName="[Table1].[Children transferred out of CBP custody].[All]" dimensionUniqueName="[Table1]" displayFolder="" count="0" memberValueDatatype="20" unbalanced="0"/>
    <cacheHierarchy uniqueName="[Table1].[Children in HHS Care]" caption="Children in HHS Care" attribute="1" defaultMemberUniqueName="[Table1].[Children in HHS Care].[All]" allUniqueName="[Table1].[Children in HHS Care].[All]" dimensionUniqueName="[Table1]" displayFolder="" count="0" memberValueDatatype="20" unbalanced="0"/>
    <cacheHierarchy uniqueName="[Table1].[Children discharged from HHS Care]" caption="Children discharged from HHS Care" attribute="1" defaultMemberUniqueName="[Table1].[Children discharged from HHS Care].[All]" allUniqueName="[Table1].[Children discharged from HHS Care].[All]" dimensionUniqueName="[Table1]" displayFolder="" count="0" memberValueDatatype="20" unbalanced="0"/>
    <cacheHierarchy uniqueName="[Table1].[intake]" caption="intake" attribute="1" defaultMemberUniqueName="[Table1].[intake].[All]" allUniqueName="[Table1].[intake].[All]" dimensionUniqueName="[Table1]" displayFolder="" count="0" memberValueDatatype="2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1"/>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ildren in HHS Care]" caption="Sum of Children in HHS Care" measure="1" displayFolder="" measureGroup="Table1" count="0" hidden="1">
      <extLst>
        <ext xmlns:x15="http://schemas.microsoft.com/office/spreadsheetml/2010/11/main" uri="{B97F6D7D-B522-45F9-BDA1-12C45D357490}">
          <x15:cacheHierarchy aggregatedColumn="4"/>
        </ext>
      </extLst>
    </cacheHierarchy>
    <cacheHierarchy uniqueName="[Measures].[Average of Children in HHS Care]" caption="Average of Children in HHS Care" measure="1" displayFolder="" measureGroup="Table1" count="0" hidden="1">
      <extLst>
        <ext xmlns:x15="http://schemas.microsoft.com/office/spreadsheetml/2010/11/main" uri="{B97F6D7D-B522-45F9-BDA1-12C45D357490}">
          <x15:cacheHierarchy aggregatedColumn="4"/>
        </ext>
      </extLst>
    </cacheHierarchy>
    <cacheHierarchy uniqueName="[Measures].[Sum of Children in CBP custody]" caption="Sum of Children in CBP custody" measure="1" displayFolder="" measureGroup="Table1" count="0" hidden="1">
      <extLst>
        <ext xmlns:x15="http://schemas.microsoft.com/office/spreadsheetml/2010/11/main" uri="{B97F6D7D-B522-45F9-BDA1-12C45D357490}">
          <x15:cacheHierarchy aggregatedColumn="2"/>
        </ext>
      </extLst>
    </cacheHierarchy>
    <cacheHierarchy uniqueName="[Measures].[Average of Children in CBP custody]" caption="Average of Children in CBP custody" measure="1" displayFolder="" measureGroup="Table1" count="0" hidden="1">
      <extLst>
        <ext xmlns:x15="http://schemas.microsoft.com/office/spreadsheetml/2010/11/main" uri="{B97F6D7D-B522-45F9-BDA1-12C45D357490}">
          <x15:cacheHierarchy aggregatedColumn="2"/>
        </ext>
      </extLst>
    </cacheHierarchy>
    <cacheHierarchy uniqueName="[Measures].[Sum of intake]" caption="Sum of intak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Children transferred out of CBP custody]" caption="Sum of Children transferred out of CBP custody" measure="1" displayFolder="" measureGroup="Table1" count="0" hidden="1">
      <extLst>
        <ext xmlns:x15="http://schemas.microsoft.com/office/spreadsheetml/2010/11/main" uri="{B97F6D7D-B522-45F9-BDA1-12C45D357490}">
          <x15:cacheHierarchy aggregatedColumn="3"/>
        </ext>
      </extLst>
    </cacheHierarchy>
    <cacheHierarchy uniqueName="[Measures].[Sum of Children discharged from HHS Care]" caption="Sum of Children discharged from HHS Car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213.518344444441" backgroundQuery="1" createdVersion="8" refreshedVersion="8" minRefreshableVersion="3" recordCount="0" supportSubquery="1" supportAdvancedDrill="1" xr:uid="{CA6FE521-D26B-45AB-BFC8-237151FBE1BE}">
  <cacheSource type="external" connectionId="1"/>
  <cacheFields count="4">
    <cacheField name="[Table1].[Date (Month)].[Date (Month)]" caption="Date (Month)" numFmtId="0" hierarchy="9" level="1">
      <sharedItems count="12">
        <s v="Jan"/>
        <s v="Feb"/>
        <s v="Mar"/>
        <s v="Apr"/>
        <s v="May"/>
        <s v="Jun"/>
        <s v="Jul"/>
        <s v="Aug"/>
        <s v="Sep"/>
        <s v="Oct"/>
        <s v="Nov"/>
        <s v="Dec"/>
      </sharedItems>
    </cacheField>
    <cacheField name="[Table1].[Date (Year)].[Date (Year)]" caption="Date (Year)" numFmtId="0" hierarchy="7" level="1">
      <sharedItems count="3">
        <s v="2023"/>
        <s v="2024"/>
        <s v="2025"/>
      </sharedItems>
    </cacheField>
    <cacheField name="[Measures].[Sum of Children transferred out of CBP custody]" caption="Sum of Children transferred out of CBP custody" numFmtId="0" hierarchy="18" level="32767"/>
    <cacheField name="[Measures].[Sum of Children discharged from HHS Care]" caption="Sum of Children discharged from HHS Care" numFmtId="0" hierarchy="19" level="32767"/>
  </cacheFields>
  <cacheHierarchies count="20">
    <cacheHierarchy uniqueName="[Table1].[Date]" caption="Date" attribute="1" time="1" defaultMemberUniqueName="[Table1].[Date].[All]" allUniqueName="[Table1].[Date].[All]" dimensionUniqueName="[Table1]" displayFolder="" count="2" memberValueDatatype="7" unbalanced="0"/>
    <cacheHierarchy uniqueName="[Table1].[Children apprehended and placed in CBP custody*]" caption="Children apprehended and placed in CBP custody*" attribute="1" defaultMemberUniqueName="[Table1].[Children apprehended and placed in CBP custody*].[All]" allUniqueName="[Table1].[Children apprehended and placed in CBP custody*].[All]" dimensionUniqueName="[Table1]" displayFolder="" count="0" memberValueDatatype="20" unbalanced="0"/>
    <cacheHierarchy uniqueName="[Table1].[Children in CBP custody]" caption="Children in CBP custody" attribute="1" defaultMemberUniqueName="[Table1].[Children in CBP custody].[All]" allUniqueName="[Table1].[Children in CBP custody].[All]" dimensionUniqueName="[Table1]" displayFolder="" count="0" memberValueDatatype="20" unbalanced="0"/>
    <cacheHierarchy uniqueName="[Table1].[Children transferred out of CBP custody]" caption="Children transferred out of CBP custody" attribute="1" defaultMemberUniqueName="[Table1].[Children transferred out of CBP custody].[All]" allUniqueName="[Table1].[Children transferred out of CBP custody].[All]" dimensionUniqueName="[Table1]" displayFolder="" count="0" memberValueDatatype="20" unbalanced="0"/>
    <cacheHierarchy uniqueName="[Table1].[Children in HHS Care]" caption="Children in HHS Care" attribute="1" defaultMemberUniqueName="[Table1].[Children in HHS Care].[All]" allUniqueName="[Table1].[Children in HHS Care].[All]" dimensionUniqueName="[Table1]" displayFolder="" count="0" memberValueDatatype="20" unbalanced="0"/>
    <cacheHierarchy uniqueName="[Table1].[Children discharged from HHS Care]" caption="Children discharged from HHS Care" attribute="1" defaultMemberUniqueName="[Table1].[Children discharged from HHS Care].[All]" allUniqueName="[Table1].[Children discharged from HHS Care].[All]" dimensionUniqueName="[Table1]" displayFolder="" count="0" memberValueDatatype="20" unbalanced="0"/>
    <cacheHierarchy uniqueName="[Table1].[intake]" caption="intake" attribute="1" defaultMemberUniqueName="[Table1].[intake].[All]" allUniqueName="[Table1].[intake].[All]" dimensionUniqueName="[Table1]" displayFolder="" count="0" memberValueDatatype="2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1"/>
      </fieldsUsage>
    </cacheHierarchy>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ildren in HHS Care]" caption="Sum of Children in HHS Care" measure="1" displayFolder="" measureGroup="Table1" count="0" hidden="1">
      <extLst>
        <ext xmlns:x15="http://schemas.microsoft.com/office/spreadsheetml/2010/11/main" uri="{B97F6D7D-B522-45F9-BDA1-12C45D357490}">
          <x15:cacheHierarchy aggregatedColumn="4"/>
        </ext>
      </extLst>
    </cacheHierarchy>
    <cacheHierarchy uniqueName="[Measures].[Average of Children in HHS Care]" caption="Average of Children in HHS Care" measure="1" displayFolder="" measureGroup="Table1" count="0" hidden="1">
      <extLst>
        <ext xmlns:x15="http://schemas.microsoft.com/office/spreadsheetml/2010/11/main" uri="{B97F6D7D-B522-45F9-BDA1-12C45D357490}">
          <x15:cacheHierarchy aggregatedColumn="4"/>
        </ext>
      </extLst>
    </cacheHierarchy>
    <cacheHierarchy uniqueName="[Measures].[Sum of Children in CBP custody]" caption="Sum of Children in CBP custody" measure="1" displayFolder="" measureGroup="Table1" count="0" hidden="1">
      <extLst>
        <ext xmlns:x15="http://schemas.microsoft.com/office/spreadsheetml/2010/11/main" uri="{B97F6D7D-B522-45F9-BDA1-12C45D357490}">
          <x15:cacheHierarchy aggregatedColumn="2"/>
        </ext>
      </extLst>
    </cacheHierarchy>
    <cacheHierarchy uniqueName="[Measures].[Average of Children in CBP custody]" caption="Average of Children in CBP custody" measure="1" displayFolder="" measureGroup="Table1" count="0" hidden="1">
      <extLst>
        <ext xmlns:x15="http://schemas.microsoft.com/office/spreadsheetml/2010/11/main" uri="{B97F6D7D-B522-45F9-BDA1-12C45D357490}">
          <x15:cacheHierarchy aggregatedColumn="2"/>
        </ext>
      </extLst>
    </cacheHierarchy>
    <cacheHierarchy uniqueName="[Measures].[Sum of intake]" caption="Sum of intake" measure="1" displayFolder="" measureGroup="Table1" count="0" hidden="1">
      <extLst>
        <ext xmlns:x15="http://schemas.microsoft.com/office/spreadsheetml/2010/11/main" uri="{B97F6D7D-B522-45F9-BDA1-12C45D357490}">
          <x15:cacheHierarchy aggregatedColumn="6"/>
        </ext>
      </extLst>
    </cacheHierarchy>
    <cacheHierarchy uniqueName="[Measures].[Sum of Children transferred out of CBP custody]" caption="Sum of Children transferred out of CBP custody"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Children discharged from HHS Care]" caption="Sum of Children discharged from HHS Car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213.505334953705" backgroundQuery="1" createdVersion="3" refreshedVersion="8" minRefreshableVersion="3" recordCount="0" supportSubquery="1" supportAdvancedDrill="1" xr:uid="{1AB44C40-491D-404C-88EE-48F074238C6D}">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Measures]" caption="Measures" attribute="1" keyAttribute="1" defaultMemberUniqueName="[Measures].[__No measures defined]" dimensionUniqueName="[Measures]" displayFolder="" measures="1" count="1" memberValueDatatype="130" unbalanced="0"/>
    <cacheHierarchy uniqueName="[Table1].[Date]" caption="Date" attribute="1" time="1" defaultMemberUniqueName="[Table1].[Date].[All]" allUniqueName="[Table1].[Date].[All]" dimensionUniqueName="[Table1]" displayFolder="" count="2" memberValueDatatype="7" unbalanced="0"/>
    <cacheHierarchy uniqueName="[Table1].[Children apprehended and placed in CBP custody*]" caption="Children apprehended and placed in CBP custody*" attribute="1" defaultMemberUniqueName="[Table1].[Children apprehended and placed in CBP custody*].[All]" allUniqueName="[Table1].[Children apprehended and placed in CBP custody*].[All]" dimensionUniqueName="[Table1]" displayFolder="" count="2" memberValueDatatype="20" unbalanced="0"/>
    <cacheHierarchy uniqueName="[Table1].[Children in CBP custody]" caption="Children in CBP custody" attribute="1" defaultMemberUniqueName="[Table1].[Children in CBP custody].[All]" allUniqueName="[Table1].[Children in CBP custody].[All]" dimensionUniqueName="[Table1]" displayFolder="" count="2" memberValueDatatype="20" unbalanced="0"/>
    <cacheHierarchy uniqueName="[Table1].[Children transferred out of CBP custody]" caption="Children transferred out of CBP custody" attribute="1" defaultMemberUniqueName="[Table1].[Children transferred out of CBP custody].[All]" allUniqueName="[Table1].[Children transferred out of CBP custody].[All]" dimensionUniqueName="[Table1]" displayFolder="" count="2" memberValueDatatype="20" unbalanced="0"/>
    <cacheHierarchy uniqueName="[Table1].[Children in HHS Care]" caption="Children in HHS Care" attribute="1" defaultMemberUniqueName="[Table1].[Children in HHS Care].[All]" allUniqueName="[Table1].[Children in HHS Care].[All]" dimensionUniqueName="[Table1]" displayFolder="" count="2" memberValueDatatype="20" unbalanced="0"/>
    <cacheHierarchy uniqueName="[Table1].[Children discharged from HHS Care]" caption="Children discharged from HHS Care" attribute="1" defaultMemberUniqueName="[Table1].[Children discharged from HHS Care].[All]" allUniqueName="[Table1].[Children discharged from HHS Care].[All]" dimensionUniqueName="[Table1]" displayFolder="" count="2" memberValueDatatype="20" unbalanced="0"/>
    <cacheHierarchy uniqueName="[Table1].[intake]" caption="intake" attribute="1" defaultMemberUniqueName="[Table1].[intake].[All]" allUniqueName="[Table1].[intake].[All]" dimensionUniqueName="[Table1]" displayFolder="" count="2" memberValueDatatype="2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ildren in HHS Care]" caption="Sum of Children in HHS Care" measure="1" displayFolder="" measureGroup="Table1" count="0" hidden="1">
      <extLst>
        <ext xmlns:x15="http://schemas.microsoft.com/office/spreadsheetml/2010/11/main" uri="{B97F6D7D-B522-45F9-BDA1-12C45D357490}">
          <x15:cacheHierarchy aggregatedColumn="5"/>
        </ext>
      </extLst>
    </cacheHierarchy>
    <cacheHierarchy uniqueName="[Measures].[Average of Children in HHS Care]" caption="Average of Children in HHS Care" measure="1" displayFolder="" measureGroup="Table1" count="0" hidden="1">
      <extLst>
        <ext xmlns:x15="http://schemas.microsoft.com/office/spreadsheetml/2010/11/main" uri="{B97F6D7D-B522-45F9-BDA1-12C45D357490}">
          <x15:cacheHierarchy aggregatedColumn="5"/>
        </ext>
      </extLst>
    </cacheHierarchy>
    <cacheHierarchy uniqueName="[Measures].[Sum of Children in CBP custody]" caption="Sum of Children in CBP custody" measure="1" displayFolder="" measureGroup="Table1" count="0" hidden="1">
      <extLst>
        <ext xmlns:x15="http://schemas.microsoft.com/office/spreadsheetml/2010/11/main" uri="{B97F6D7D-B522-45F9-BDA1-12C45D357490}">
          <x15:cacheHierarchy aggregatedColumn="3"/>
        </ext>
      </extLst>
    </cacheHierarchy>
    <cacheHierarchy uniqueName="[Measures].[Average of Children in CBP custody]" caption="Average of Children in CBP custody" measure="1" displayFolder="" measureGroup="Table1" count="0" hidden="1">
      <extLst>
        <ext xmlns:x15="http://schemas.microsoft.com/office/spreadsheetml/2010/11/main" uri="{B97F6D7D-B522-45F9-BDA1-12C45D357490}">
          <x15:cacheHierarchy aggregatedColumn="3"/>
        </ext>
      </extLst>
    </cacheHierarchy>
    <cacheHierarchy uniqueName="[Measures].[Sum of intake]" caption="Sum of intake" measure="1" displayFolder="" measureGroup="Table1" count="0" hidden="1">
      <extLst>
        <ext xmlns:x15="http://schemas.microsoft.com/office/spreadsheetml/2010/11/main" uri="{B97F6D7D-B522-45F9-BDA1-12C45D357490}">
          <x15:cacheHierarchy aggregatedColumn="7"/>
        </ext>
      </extLst>
    </cacheHierarchy>
    <cacheHierarchy uniqueName="[Measures].[Sum of Children transferred out of CBP custody]" caption="Sum of Children transferred out of CBP custody" measure="1" displayFolder="" measureGroup="Table1" count="0" hidden="1">
      <extLst>
        <ext xmlns:x15="http://schemas.microsoft.com/office/spreadsheetml/2010/11/main" uri="{B97F6D7D-B522-45F9-BDA1-12C45D357490}">
          <x15:cacheHierarchy aggregatedColumn="4"/>
        </ext>
      </extLst>
    </cacheHierarchy>
    <cacheHierarchy uniqueName="[Measures].[Sum of Children discharged from HHS Care]" caption="Sum of Children discharged from HHS Car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9220435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D922A2-38C0-4214-904E-B6546B7721F3}" name="PivotTable1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44:C84"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item x="1"/>
        <item x="2"/>
      </items>
    </pivotField>
    <pivotField dataField="1" subtotalTop="0" showAll="0" defaultSubtotal="0"/>
    <pivotField dataField="1" subtotalTop="0" showAll="0" defaultSubtotal="0"/>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Children transferred out of CBP custody" fld="2" baseField="0" baseItem="0"/>
    <dataField name="Sum of Children discharged from HHS Car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ABF1DB-D812-498F-BA4D-44FAB0227EBF}" name="PivotTable1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K1:L4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item x="1"/>
        <item x="2"/>
      </items>
    </pivotField>
    <pivotField dataField="1" subtotalTop="0" showAll="0" defaultSubtotal="0"/>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intake" fld="2"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8ADEA9-ADE9-4204-813A-F00D1E5C1C20}" name="PivotTable1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G1:I4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item x="1"/>
        <item x="2"/>
      </items>
    </pivotField>
  </pivotFields>
  <rowFields count="2">
    <field x="3"/>
    <field x="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Average of Children in CBP custody" fld="0" subtotal="average" baseField="0" baseItem="0"/>
    <dataField name="Average of Children in HHS Care" fld="1"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Children in HHS Care"/>
    <pivotHierarchy dragToData="1"/>
    <pivotHierarchy dragToData="1" caption="Average of Children in CBP custody"/>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1FED43-5540-4DFA-8733-0DD8B9E7DF5A}" name="PivotTable1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4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Monthly Average HHS Care Trend" fld="2" subtotal="average" baseField="0" baseItem="1"/>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Monthly Average HHS Care Tren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532C808-6413-4FE7-82EB-5E9A2ABABDE2}" sourceName="[Table1].[Date (Year)]">
  <pivotTables>
    <pivotTable tabId="6" name="PivotTable14"/>
    <pivotTable tabId="6" name="PivotTable15"/>
    <pivotTable tabId="6" name="PivotTable16"/>
    <pivotTable tabId="6" name="PivotTable17"/>
  </pivotTables>
  <data>
    <olap pivotCacheId="1922043584">
      <levels count="2">
        <level uniqueName="[Table1].[Date (Year)].[(All)]" sourceCaption="(All)" count="0"/>
        <level uniqueName="[Table1].[Date (Year)].[Date (Year)]" sourceCaption="Date (Year)" count="3">
          <ranges>
            <range startItem="0">
              <i n="[Table1].[Date (Year)].&amp;[2023]" c="2023"/>
              <i n="[Table1].[Date (Year)].&amp;[2024]" c="2024"/>
              <i n="[Table1].[Date (Year)].&amp;[2025]" c="2025"/>
            </range>
          </ranges>
        </level>
      </levels>
      <selections count="1">
        <selection n="[Table1].[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845D613-AF15-4FD2-A49B-4A9E44D66B25}" sourceName="[Table1].[Date (Month)]">
  <pivotTables>
    <pivotTable tabId="6" name="PivotTable14"/>
    <pivotTable tabId="6" name="PivotTable15"/>
    <pivotTable tabId="6" name="PivotTable16"/>
    <pivotTable tabId="6" name="PivotTable17"/>
  </pivotTables>
  <data>
    <olap pivotCacheId="1922043584">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545BCE92-648D-44FD-A3FE-879E55516FCA}" cache="Slicer_Date__Year" caption="Date (Year)" level="1" style="SlicerStyleDark1" rowHeight="241300"/>
  <slicer name="Date (Month) 1" xr10:uid="{DD076E2B-688A-4A96-8D16-519109CEB8A1}" cache="Slicer_Date__Month" caption="Date (Month)"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70A9F0-342F-4EA7-81FD-03874C9D841C}" name="Table1" displayName="Table1" ref="A1:G721" totalsRowShown="0">
  <autoFilter ref="A1:G721" xr:uid="{F970A9F0-342F-4EA7-81FD-03874C9D841C}"/>
  <tableColumns count="7">
    <tableColumn id="1" xr3:uid="{BEC005F7-73A0-40E1-919D-BB7D7297D12E}" name="Date" dataDxfId="2"/>
    <tableColumn id="2" xr3:uid="{7EE1A0DB-C664-4496-9356-DEA3988F0351}" name="Children apprehended and placed in CBP custody*"/>
    <tableColumn id="3" xr3:uid="{026D1428-968E-44B7-B941-817852752CEF}" name="Children in CBP custody"/>
    <tableColumn id="4" xr3:uid="{5A41928F-A9CA-45E4-84EF-07EBA8CACBCE}" name="Children transferred out of CBP custody"/>
    <tableColumn id="5" xr3:uid="{FDCF86B9-AB02-4676-8E92-CFF98966EB63}" name="Children in HHS Care" dataDxfId="1"/>
    <tableColumn id="6" xr3:uid="{B82304CB-A99E-4C78-ADED-98DCEBF9CD8A}" name="Children discharged from HHS Care"/>
    <tableColumn id="7" xr3:uid="{D549E78D-B5D2-44E0-9BF9-3C99D2CC5811}" name="intake" dataDxfId="0">
      <calculatedColumnFormula>Table1[[#This Row],[Children apprehended and placed in CBP custody*]]-Table1[[#This Row],[Children discharged from HHS Care]]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92A9-C5B1-4782-AC8A-A98D0C07D802}">
  <dimension ref="A1:G721"/>
  <sheetViews>
    <sheetView topLeftCell="A2" workbookViewId="0">
      <selection activeCell="B2" sqref="B2"/>
    </sheetView>
  </sheetViews>
  <sheetFormatPr defaultRowHeight="15" x14ac:dyDescent="0.25"/>
  <cols>
    <col min="1" max="1" width="10.140625" bestFit="1" customWidth="1"/>
    <col min="2" max="2" width="47.42578125" customWidth="1"/>
    <col min="3" max="3" width="24" customWidth="1"/>
    <col min="4" max="4" width="38" customWidth="1"/>
    <col min="5" max="5" width="21.28515625" customWidth="1"/>
    <col min="6" max="6" width="33.85546875" customWidth="1"/>
  </cols>
  <sheetData>
    <row r="1" spans="1:7" x14ac:dyDescent="0.25">
      <c r="A1" t="s">
        <v>0</v>
      </c>
      <c r="B1" t="s">
        <v>1</v>
      </c>
      <c r="C1" t="s">
        <v>2</v>
      </c>
      <c r="D1" t="s">
        <v>3</v>
      </c>
      <c r="E1" t="s">
        <v>4</v>
      </c>
      <c r="F1" t="s">
        <v>5</v>
      </c>
      <c r="G1" t="s">
        <v>30</v>
      </c>
    </row>
    <row r="2" spans="1:7" x14ac:dyDescent="0.25">
      <c r="A2" s="1">
        <v>46012</v>
      </c>
      <c r="B2">
        <v>6</v>
      </c>
      <c r="C2">
        <v>18</v>
      </c>
      <c r="D2">
        <v>11</v>
      </c>
      <c r="E2" s="2">
        <v>2484</v>
      </c>
      <c r="F2">
        <v>14</v>
      </c>
      <c r="G2">
        <f>Table1[[#This Row],[Children apprehended and placed in CBP custody*]]-Table1[[#This Row],[Children discharged from HHS Care]]</f>
        <v>-8</v>
      </c>
    </row>
    <row r="3" spans="1:7" x14ac:dyDescent="0.25">
      <c r="A3" s="1">
        <v>46009</v>
      </c>
      <c r="B3">
        <v>11</v>
      </c>
      <c r="C3">
        <v>50</v>
      </c>
      <c r="D3">
        <v>6</v>
      </c>
      <c r="E3" s="2">
        <v>2472</v>
      </c>
      <c r="F3">
        <v>16</v>
      </c>
      <c r="G3">
        <f>Table1[[#This Row],[Children apprehended and placed in CBP custody*]]-Table1[[#This Row],[Children discharged from HHS Care]]</f>
        <v>-5</v>
      </c>
    </row>
    <row r="4" spans="1:7" x14ac:dyDescent="0.25">
      <c r="A4" s="1">
        <v>46008</v>
      </c>
      <c r="B4">
        <v>7</v>
      </c>
      <c r="C4">
        <v>31</v>
      </c>
      <c r="D4">
        <v>11</v>
      </c>
      <c r="E4" s="2">
        <v>2481</v>
      </c>
      <c r="F4">
        <v>10</v>
      </c>
      <c r="G4">
        <f>Table1[[#This Row],[Children apprehended and placed in CBP custody*]]-Table1[[#This Row],[Children discharged from HHS Care]]</f>
        <v>-3</v>
      </c>
    </row>
    <row r="5" spans="1:7" x14ac:dyDescent="0.25">
      <c r="A5" s="1">
        <v>46007</v>
      </c>
      <c r="B5">
        <v>8</v>
      </c>
      <c r="C5">
        <v>54</v>
      </c>
      <c r="D5">
        <v>15</v>
      </c>
      <c r="E5" s="2">
        <v>2468</v>
      </c>
      <c r="F5">
        <v>9</v>
      </c>
      <c r="G5">
        <f>Table1[[#This Row],[Children apprehended and placed in CBP custody*]]-Table1[[#This Row],[Children discharged from HHS Care]]</f>
        <v>-1</v>
      </c>
    </row>
    <row r="6" spans="1:7" x14ac:dyDescent="0.25">
      <c r="A6" s="1">
        <v>46006</v>
      </c>
      <c r="B6">
        <v>11</v>
      </c>
      <c r="C6">
        <v>42</v>
      </c>
      <c r="D6">
        <v>9</v>
      </c>
      <c r="E6" s="2">
        <v>2470</v>
      </c>
      <c r="F6">
        <v>7</v>
      </c>
      <c r="G6">
        <f>Table1[[#This Row],[Children apprehended and placed in CBP custody*]]-Table1[[#This Row],[Children discharged from HHS Care]]</f>
        <v>4</v>
      </c>
    </row>
    <row r="7" spans="1:7" x14ac:dyDescent="0.25">
      <c r="A7" s="1">
        <v>46005</v>
      </c>
      <c r="B7">
        <v>8</v>
      </c>
      <c r="C7">
        <v>35</v>
      </c>
      <c r="D7">
        <v>4</v>
      </c>
      <c r="E7" s="2">
        <v>2462</v>
      </c>
      <c r="F7">
        <v>8</v>
      </c>
      <c r="G7">
        <f>Table1[[#This Row],[Children apprehended and placed in CBP custody*]]-Table1[[#This Row],[Children discharged from HHS Care]]</f>
        <v>0</v>
      </c>
    </row>
    <row r="8" spans="1:7" x14ac:dyDescent="0.25">
      <c r="A8" s="1">
        <v>46002</v>
      </c>
      <c r="B8">
        <v>7</v>
      </c>
      <c r="C8">
        <v>47</v>
      </c>
      <c r="D8">
        <v>9</v>
      </c>
      <c r="E8" s="2">
        <v>2437</v>
      </c>
      <c r="F8">
        <v>10</v>
      </c>
      <c r="G8">
        <f>Table1[[#This Row],[Children apprehended and placed in CBP custody*]]-Table1[[#This Row],[Children discharged from HHS Care]]</f>
        <v>-3</v>
      </c>
    </row>
    <row r="9" spans="1:7" x14ac:dyDescent="0.25">
      <c r="A9" s="1">
        <v>46001</v>
      </c>
      <c r="B9">
        <v>10</v>
      </c>
      <c r="C9">
        <v>54</v>
      </c>
      <c r="D9">
        <v>5</v>
      </c>
      <c r="E9" s="2">
        <v>2439</v>
      </c>
      <c r="F9">
        <v>9</v>
      </c>
      <c r="G9">
        <f>Table1[[#This Row],[Children apprehended and placed in CBP custody*]]-Table1[[#This Row],[Children discharged from HHS Care]]</f>
        <v>1</v>
      </c>
    </row>
    <row r="10" spans="1:7" x14ac:dyDescent="0.25">
      <c r="A10" s="1">
        <v>46000</v>
      </c>
      <c r="B10">
        <v>4</v>
      </c>
      <c r="C10">
        <v>30</v>
      </c>
      <c r="D10">
        <v>7</v>
      </c>
      <c r="E10" s="2">
        <v>2443</v>
      </c>
      <c r="F10">
        <v>8</v>
      </c>
      <c r="G10">
        <f>Table1[[#This Row],[Children apprehended and placed in CBP custody*]]-Table1[[#This Row],[Children discharged from HHS Care]]</f>
        <v>-4</v>
      </c>
    </row>
    <row r="11" spans="1:7" x14ac:dyDescent="0.25">
      <c r="A11" s="1">
        <v>45999</v>
      </c>
      <c r="B11">
        <v>9</v>
      </c>
      <c r="C11">
        <v>27</v>
      </c>
      <c r="D11">
        <v>9</v>
      </c>
      <c r="E11" s="2">
        <v>2440</v>
      </c>
      <c r="F11">
        <v>4</v>
      </c>
      <c r="G11">
        <f>Table1[[#This Row],[Children apprehended and placed in CBP custody*]]-Table1[[#This Row],[Children discharged from HHS Care]]</f>
        <v>5</v>
      </c>
    </row>
    <row r="12" spans="1:7" x14ac:dyDescent="0.25">
      <c r="A12" s="1">
        <v>45998</v>
      </c>
      <c r="B12">
        <v>4</v>
      </c>
      <c r="C12">
        <v>24</v>
      </c>
      <c r="D12">
        <v>13</v>
      </c>
      <c r="E12" s="2">
        <v>2429</v>
      </c>
      <c r="F12">
        <v>12</v>
      </c>
      <c r="G12">
        <f>Table1[[#This Row],[Children apprehended and placed in CBP custody*]]-Table1[[#This Row],[Children discharged from HHS Care]]</f>
        <v>-8</v>
      </c>
    </row>
    <row r="13" spans="1:7" x14ac:dyDescent="0.25">
      <c r="A13" s="1">
        <v>45995</v>
      </c>
      <c r="B13">
        <v>16</v>
      </c>
      <c r="C13">
        <v>39</v>
      </c>
      <c r="D13">
        <v>7</v>
      </c>
      <c r="E13" s="2">
        <v>2418</v>
      </c>
      <c r="F13">
        <v>13</v>
      </c>
      <c r="G13">
        <f>Table1[[#This Row],[Children apprehended and placed in CBP custody*]]-Table1[[#This Row],[Children discharged from HHS Care]]</f>
        <v>3</v>
      </c>
    </row>
    <row r="14" spans="1:7" x14ac:dyDescent="0.25">
      <c r="A14" s="1">
        <v>45994</v>
      </c>
      <c r="B14">
        <v>4</v>
      </c>
      <c r="C14">
        <v>32</v>
      </c>
      <c r="D14">
        <v>8</v>
      </c>
      <c r="E14" s="2">
        <v>2419</v>
      </c>
      <c r="F14">
        <v>7</v>
      </c>
      <c r="G14">
        <f>Table1[[#This Row],[Children apprehended and placed in CBP custody*]]-Table1[[#This Row],[Children discharged from HHS Care]]</f>
        <v>-3</v>
      </c>
    </row>
    <row r="15" spans="1:7" x14ac:dyDescent="0.25">
      <c r="A15" s="1">
        <v>45993</v>
      </c>
      <c r="B15">
        <v>7</v>
      </c>
      <c r="C15">
        <v>34</v>
      </c>
      <c r="D15">
        <v>6</v>
      </c>
      <c r="E15" s="2">
        <v>2407</v>
      </c>
      <c r="F15">
        <v>8</v>
      </c>
      <c r="G15">
        <f>Table1[[#This Row],[Children apprehended and placed in CBP custody*]]-Table1[[#This Row],[Children discharged from HHS Care]]</f>
        <v>-1</v>
      </c>
    </row>
    <row r="16" spans="1:7" x14ac:dyDescent="0.25">
      <c r="A16" s="1">
        <v>45992</v>
      </c>
      <c r="B16">
        <v>4</v>
      </c>
      <c r="C16">
        <v>26</v>
      </c>
      <c r="D16">
        <v>4</v>
      </c>
      <c r="E16" s="2">
        <v>2410</v>
      </c>
      <c r="F16">
        <v>9</v>
      </c>
      <c r="G16">
        <f>Table1[[#This Row],[Children apprehended and placed in CBP custody*]]-Table1[[#This Row],[Children discharged from HHS Care]]</f>
        <v>-5</v>
      </c>
    </row>
    <row r="17" spans="1:7" x14ac:dyDescent="0.25">
      <c r="A17" s="1">
        <v>45991</v>
      </c>
      <c r="B17">
        <v>4</v>
      </c>
      <c r="C17">
        <v>18</v>
      </c>
      <c r="D17">
        <v>10</v>
      </c>
      <c r="E17" s="2">
        <v>2415</v>
      </c>
      <c r="F17">
        <v>0</v>
      </c>
      <c r="G17">
        <f>Table1[[#This Row],[Children apprehended and placed in CBP custody*]]-Table1[[#This Row],[Children discharged from HHS Care]]</f>
        <v>4</v>
      </c>
    </row>
    <row r="18" spans="1:7" x14ac:dyDescent="0.25">
      <c r="A18" s="1">
        <v>45988</v>
      </c>
      <c r="B18">
        <v>4</v>
      </c>
      <c r="C18">
        <v>24</v>
      </c>
      <c r="D18">
        <v>8</v>
      </c>
      <c r="E18" s="2">
        <v>2389</v>
      </c>
      <c r="F18">
        <v>7</v>
      </c>
      <c r="G18">
        <f>Table1[[#This Row],[Children apprehended and placed in CBP custody*]]-Table1[[#This Row],[Children discharged from HHS Care]]</f>
        <v>-3</v>
      </c>
    </row>
    <row r="19" spans="1:7" x14ac:dyDescent="0.25">
      <c r="A19" s="1">
        <v>45986</v>
      </c>
      <c r="B19">
        <v>6</v>
      </c>
      <c r="C19">
        <v>47</v>
      </c>
      <c r="D19">
        <v>14</v>
      </c>
      <c r="E19" s="2">
        <v>2375</v>
      </c>
      <c r="F19">
        <v>11</v>
      </c>
      <c r="G19">
        <f>Table1[[#This Row],[Children apprehended and placed in CBP custody*]]-Table1[[#This Row],[Children discharged from HHS Care]]</f>
        <v>-5</v>
      </c>
    </row>
    <row r="20" spans="1:7" x14ac:dyDescent="0.25">
      <c r="A20" s="1">
        <v>45985</v>
      </c>
      <c r="B20">
        <v>9</v>
      </c>
      <c r="C20">
        <v>40</v>
      </c>
      <c r="D20">
        <v>9</v>
      </c>
      <c r="E20" s="2">
        <v>2371</v>
      </c>
      <c r="F20">
        <v>13</v>
      </c>
      <c r="G20">
        <f>Table1[[#This Row],[Children apprehended and placed in CBP custody*]]-Table1[[#This Row],[Children discharged from HHS Care]]</f>
        <v>-4</v>
      </c>
    </row>
    <row r="21" spans="1:7" x14ac:dyDescent="0.25">
      <c r="A21" s="1">
        <v>45984</v>
      </c>
      <c r="B21">
        <v>3</v>
      </c>
      <c r="C21">
        <v>46</v>
      </c>
      <c r="D21">
        <v>22</v>
      </c>
      <c r="E21" s="2">
        <v>2375</v>
      </c>
      <c r="F21">
        <v>1</v>
      </c>
      <c r="G21">
        <f>Table1[[#This Row],[Children apprehended and placed in CBP custody*]]-Table1[[#This Row],[Children discharged from HHS Care]]</f>
        <v>2</v>
      </c>
    </row>
    <row r="22" spans="1:7" x14ac:dyDescent="0.25">
      <c r="A22" s="1">
        <v>45981</v>
      </c>
      <c r="B22">
        <v>18</v>
      </c>
      <c r="C22">
        <v>57</v>
      </c>
      <c r="D22">
        <v>8</v>
      </c>
      <c r="E22" s="2">
        <v>2340</v>
      </c>
      <c r="F22">
        <v>9</v>
      </c>
      <c r="G22">
        <f>Table1[[#This Row],[Children apprehended and placed in CBP custody*]]-Table1[[#This Row],[Children discharged from HHS Care]]</f>
        <v>9</v>
      </c>
    </row>
    <row r="23" spans="1:7" x14ac:dyDescent="0.25">
      <c r="A23" s="1">
        <v>45980</v>
      </c>
      <c r="B23">
        <v>7</v>
      </c>
      <c r="C23">
        <v>32</v>
      </c>
      <c r="D23">
        <v>3</v>
      </c>
      <c r="E23" s="2">
        <v>2340</v>
      </c>
      <c r="F23">
        <v>10</v>
      </c>
      <c r="G23">
        <f>Table1[[#This Row],[Children apprehended and placed in CBP custody*]]-Table1[[#This Row],[Children discharged from HHS Care]]</f>
        <v>-3</v>
      </c>
    </row>
    <row r="24" spans="1:7" x14ac:dyDescent="0.25">
      <c r="A24" s="1">
        <v>45979</v>
      </c>
      <c r="B24">
        <v>2</v>
      </c>
      <c r="C24">
        <v>38</v>
      </c>
      <c r="D24">
        <v>8</v>
      </c>
      <c r="E24" s="2">
        <v>2345</v>
      </c>
      <c r="F24">
        <v>12</v>
      </c>
      <c r="G24">
        <f>Table1[[#This Row],[Children apprehended and placed in CBP custody*]]-Table1[[#This Row],[Children discharged from HHS Care]]</f>
        <v>-10</v>
      </c>
    </row>
    <row r="25" spans="1:7" x14ac:dyDescent="0.25">
      <c r="A25" s="1">
        <v>45978</v>
      </c>
      <c r="B25">
        <v>1</v>
      </c>
      <c r="C25">
        <v>35</v>
      </c>
      <c r="D25">
        <v>6</v>
      </c>
      <c r="E25" s="2">
        <v>2343</v>
      </c>
      <c r="F25">
        <v>8</v>
      </c>
      <c r="G25">
        <f>Table1[[#This Row],[Children apprehended and placed in CBP custody*]]-Table1[[#This Row],[Children discharged from HHS Care]]</f>
        <v>-7</v>
      </c>
    </row>
    <row r="26" spans="1:7" x14ac:dyDescent="0.25">
      <c r="A26" s="1">
        <v>45977</v>
      </c>
      <c r="B26">
        <v>5</v>
      </c>
      <c r="C26">
        <v>22</v>
      </c>
      <c r="D26">
        <v>3</v>
      </c>
      <c r="E26" s="2">
        <v>2340</v>
      </c>
      <c r="F26">
        <v>5</v>
      </c>
      <c r="G26">
        <f>Table1[[#This Row],[Children apprehended and placed in CBP custody*]]-Table1[[#This Row],[Children discharged from HHS Care]]</f>
        <v>0</v>
      </c>
    </row>
    <row r="27" spans="1:7" x14ac:dyDescent="0.25">
      <c r="A27" s="1">
        <v>45974</v>
      </c>
      <c r="B27">
        <v>6</v>
      </c>
      <c r="C27">
        <v>26</v>
      </c>
      <c r="D27">
        <v>16</v>
      </c>
      <c r="E27" s="2">
        <v>2317</v>
      </c>
      <c r="F27">
        <v>5</v>
      </c>
      <c r="G27">
        <f>Table1[[#This Row],[Children apprehended and placed in CBP custody*]]-Table1[[#This Row],[Children discharged from HHS Care]]</f>
        <v>1</v>
      </c>
    </row>
    <row r="28" spans="1:7" x14ac:dyDescent="0.25">
      <c r="A28" s="1">
        <v>45973</v>
      </c>
      <c r="B28">
        <v>14</v>
      </c>
      <c r="C28">
        <v>48</v>
      </c>
      <c r="D28">
        <v>20</v>
      </c>
      <c r="E28" s="2">
        <v>2302</v>
      </c>
      <c r="F28">
        <v>7</v>
      </c>
      <c r="G28">
        <f>Table1[[#This Row],[Children apprehended and placed in CBP custody*]]-Table1[[#This Row],[Children discharged from HHS Care]]</f>
        <v>7</v>
      </c>
    </row>
    <row r="29" spans="1:7" x14ac:dyDescent="0.25">
      <c r="A29" s="1">
        <v>45972</v>
      </c>
      <c r="B29">
        <v>11</v>
      </c>
      <c r="C29">
        <v>39</v>
      </c>
      <c r="D29">
        <v>12</v>
      </c>
      <c r="E29" s="2">
        <v>2294</v>
      </c>
      <c r="F29">
        <v>14</v>
      </c>
      <c r="G29">
        <f>Table1[[#This Row],[Children apprehended and placed in CBP custody*]]-Table1[[#This Row],[Children discharged from HHS Care]]</f>
        <v>-3</v>
      </c>
    </row>
    <row r="30" spans="1:7" x14ac:dyDescent="0.25">
      <c r="A30" s="1">
        <v>45970</v>
      </c>
      <c r="B30">
        <v>11</v>
      </c>
      <c r="C30">
        <v>33</v>
      </c>
      <c r="D30">
        <v>5</v>
      </c>
      <c r="E30" s="2">
        <v>2294</v>
      </c>
      <c r="F30">
        <v>4</v>
      </c>
      <c r="G30">
        <f>Table1[[#This Row],[Children apprehended and placed in CBP custody*]]-Table1[[#This Row],[Children discharged from HHS Care]]</f>
        <v>7</v>
      </c>
    </row>
    <row r="31" spans="1:7" x14ac:dyDescent="0.25">
      <c r="A31" s="1">
        <v>45967</v>
      </c>
      <c r="B31">
        <v>6</v>
      </c>
      <c r="C31">
        <v>33</v>
      </c>
      <c r="D31">
        <v>9</v>
      </c>
      <c r="E31" s="2">
        <v>2264</v>
      </c>
      <c r="F31">
        <v>19</v>
      </c>
      <c r="G31">
        <f>Table1[[#This Row],[Children apprehended and placed in CBP custody*]]-Table1[[#This Row],[Children discharged from HHS Care]]</f>
        <v>-13</v>
      </c>
    </row>
    <row r="32" spans="1:7" x14ac:dyDescent="0.25">
      <c r="A32" s="1">
        <v>45966</v>
      </c>
      <c r="B32">
        <v>8</v>
      </c>
      <c r="C32">
        <v>41</v>
      </c>
      <c r="D32">
        <v>8</v>
      </c>
      <c r="E32" s="2">
        <v>2272</v>
      </c>
      <c r="F32">
        <v>7</v>
      </c>
      <c r="G32">
        <f>Table1[[#This Row],[Children apprehended and placed in CBP custody*]]-Table1[[#This Row],[Children discharged from HHS Care]]</f>
        <v>1</v>
      </c>
    </row>
    <row r="33" spans="1:7" x14ac:dyDescent="0.25">
      <c r="A33" s="1">
        <v>45965</v>
      </c>
      <c r="B33">
        <v>6</v>
      </c>
      <c r="C33">
        <v>33</v>
      </c>
      <c r="D33">
        <v>6</v>
      </c>
      <c r="E33" s="2">
        <v>2270</v>
      </c>
      <c r="F33">
        <v>8</v>
      </c>
      <c r="G33">
        <f>Table1[[#This Row],[Children apprehended and placed in CBP custody*]]-Table1[[#This Row],[Children discharged from HHS Care]]</f>
        <v>-2</v>
      </c>
    </row>
    <row r="34" spans="1:7" x14ac:dyDescent="0.25">
      <c r="A34" s="1">
        <v>45964</v>
      </c>
      <c r="B34">
        <v>3</v>
      </c>
      <c r="C34">
        <v>28</v>
      </c>
      <c r="D34">
        <v>5</v>
      </c>
      <c r="E34" s="2">
        <v>2269</v>
      </c>
      <c r="F34">
        <v>12</v>
      </c>
      <c r="G34">
        <f>Table1[[#This Row],[Children apprehended and placed in CBP custody*]]-Table1[[#This Row],[Children discharged from HHS Care]]</f>
        <v>-9</v>
      </c>
    </row>
    <row r="35" spans="1:7" x14ac:dyDescent="0.25">
      <c r="A35" s="1">
        <v>45963</v>
      </c>
      <c r="B35">
        <v>5</v>
      </c>
      <c r="C35">
        <v>21</v>
      </c>
      <c r="D35">
        <v>10</v>
      </c>
      <c r="E35" s="2">
        <v>2277</v>
      </c>
      <c r="F35">
        <v>7</v>
      </c>
      <c r="G35">
        <f>Table1[[#This Row],[Children apprehended and placed in CBP custody*]]-Table1[[#This Row],[Children discharged from HHS Care]]</f>
        <v>-2</v>
      </c>
    </row>
    <row r="36" spans="1:7" x14ac:dyDescent="0.25">
      <c r="A36" s="1">
        <v>45960</v>
      </c>
      <c r="B36">
        <v>3</v>
      </c>
      <c r="C36">
        <v>17</v>
      </c>
      <c r="D36">
        <v>14</v>
      </c>
      <c r="E36" s="2">
        <v>2287</v>
      </c>
      <c r="F36">
        <v>12</v>
      </c>
      <c r="G36">
        <f>Table1[[#This Row],[Children apprehended and placed in CBP custody*]]-Table1[[#This Row],[Children discharged from HHS Care]]</f>
        <v>-9</v>
      </c>
    </row>
    <row r="37" spans="1:7" x14ac:dyDescent="0.25">
      <c r="A37" s="1">
        <v>45959</v>
      </c>
      <c r="B37">
        <v>6</v>
      </c>
      <c r="C37">
        <v>25</v>
      </c>
      <c r="D37">
        <v>4</v>
      </c>
      <c r="E37" s="2">
        <v>2280</v>
      </c>
      <c r="F37">
        <v>17</v>
      </c>
      <c r="G37">
        <f>Table1[[#This Row],[Children apprehended and placed in CBP custody*]]-Table1[[#This Row],[Children discharged from HHS Care]]</f>
        <v>-11</v>
      </c>
    </row>
    <row r="38" spans="1:7" x14ac:dyDescent="0.25">
      <c r="A38" s="1">
        <v>45958</v>
      </c>
      <c r="B38">
        <v>6</v>
      </c>
      <c r="C38">
        <v>22</v>
      </c>
      <c r="D38">
        <v>11</v>
      </c>
      <c r="E38" s="2">
        <v>2286</v>
      </c>
      <c r="F38">
        <v>6</v>
      </c>
      <c r="G38">
        <f>Table1[[#This Row],[Children apprehended and placed in CBP custody*]]-Table1[[#This Row],[Children discharged from HHS Care]]</f>
        <v>0</v>
      </c>
    </row>
    <row r="39" spans="1:7" x14ac:dyDescent="0.25">
      <c r="A39" s="1">
        <v>45957</v>
      </c>
      <c r="B39">
        <v>2</v>
      </c>
      <c r="C39">
        <v>31</v>
      </c>
      <c r="D39">
        <v>8</v>
      </c>
      <c r="E39" s="2">
        <v>2282</v>
      </c>
      <c r="F39">
        <v>11</v>
      </c>
      <c r="G39">
        <f>Table1[[#This Row],[Children apprehended and placed in CBP custody*]]-Table1[[#This Row],[Children discharged from HHS Care]]</f>
        <v>-9</v>
      </c>
    </row>
    <row r="40" spans="1:7" x14ac:dyDescent="0.25">
      <c r="A40" s="1">
        <v>45956</v>
      </c>
      <c r="B40">
        <v>4</v>
      </c>
      <c r="C40">
        <v>35</v>
      </c>
      <c r="D40">
        <v>12</v>
      </c>
      <c r="E40" s="2">
        <v>2276</v>
      </c>
      <c r="F40">
        <v>10</v>
      </c>
      <c r="G40">
        <f>Table1[[#This Row],[Children apprehended and placed in CBP custody*]]-Table1[[#This Row],[Children discharged from HHS Care]]</f>
        <v>-6</v>
      </c>
    </row>
    <row r="41" spans="1:7" x14ac:dyDescent="0.25">
      <c r="A41" s="1">
        <v>45953</v>
      </c>
      <c r="B41">
        <v>4</v>
      </c>
      <c r="C41">
        <v>27</v>
      </c>
      <c r="D41">
        <v>26</v>
      </c>
      <c r="E41" s="2">
        <v>2266</v>
      </c>
      <c r="F41">
        <v>18</v>
      </c>
      <c r="G41">
        <f>Table1[[#This Row],[Children apprehended and placed in CBP custody*]]-Table1[[#This Row],[Children discharged from HHS Care]]</f>
        <v>-14</v>
      </c>
    </row>
    <row r="42" spans="1:7" x14ac:dyDescent="0.25">
      <c r="A42" s="1">
        <v>45952</v>
      </c>
      <c r="B42">
        <v>12</v>
      </c>
      <c r="C42">
        <v>42</v>
      </c>
      <c r="D42">
        <v>13</v>
      </c>
      <c r="E42" s="2">
        <v>2261</v>
      </c>
      <c r="F42">
        <v>12</v>
      </c>
      <c r="G42">
        <f>Table1[[#This Row],[Children apprehended and placed in CBP custody*]]-Table1[[#This Row],[Children discharged from HHS Care]]</f>
        <v>0</v>
      </c>
    </row>
    <row r="43" spans="1:7" x14ac:dyDescent="0.25">
      <c r="A43" s="1">
        <v>45951</v>
      </c>
      <c r="B43">
        <v>13</v>
      </c>
      <c r="C43">
        <v>39</v>
      </c>
      <c r="D43">
        <v>17</v>
      </c>
      <c r="E43" s="2">
        <v>2251</v>
      </c>
      <c r="F43">
        <v>9</v>
      </c>
      <c r="G43">
        <f>Table1[[#This Row],[Children apprehended and placed in CBP custody*]]-Table1[[#This Row],[Children discharged from HHS Care]]</f>
        <v>4</v>
      </c>
    </row>
    <row r="44" spans="1:7" x14ac:dyDescent="0.25">
      <c r="A44" s="1">
        <v>45950</v>
      </c>
      <c r="B44">
        <v>10</v>
      </c>
      <c r="C44">
        <v>39</v>
      </c>
      <c r="D44">
        <v>6</v>
      </c>
      <c r="E44" s="2">
        <v>2243</v>
      </c>
      <c r="F44">
        <v>7</v>
      </c>
      <c r="G44">
        <f>Table1[[#This Row],[Children apprehended and placed in CBP custody*]]-Table1[[#This Row],[Children discharged from HHS Care]]</f>
        <v>3</v>
      </c>
    </row>
    <row r="45" spans="1:7" x14ac:dyDescent="0.25">
      <c r="A45" s="1">
        <v>45949</v>
      </c>
      <c r="B45">
        <v>9</v>
      </c>
      <c r="C45">
        <v>34</v>
      </c>
      <c r="D45">
        <v>17</v>
      </c>
      <c r="E45" s="2">
        <v>2237</v>
      </c>
      <c r="F45">
        <v>7</v>
      </c>
      <c r="G45">
        <f>Table1[[#This Row],[Children apprehended and placed in CBP custody*]]-Table1[[#This Row],[Children discharged from HHS Care]]</f>
        <v>2</v>
      </c>
    </row>
    <row r="46" spans="1:7" x14ac:dyDescent="0.25">
      <c r="A46" s="1">
        <v>45946</v>
      </c>
      <c r="B46">
        <v>9</v>
      </c>
      <c r="C46">
        <v>33</v>
      </c>
      <c r="D46">
        <v>15</v>
      </c>
      <c r="E46" s="2">
        <v>2233</v>
      </c>
      <c r="F46">
        <v>9</v>
      </c>
      <c r="G46">
        <f>Table1[[#This Row],[Children apprehended and placed in CBP custody*]]-Table1[[#This Row],[Children discharged from HHS Care]]</f>
        <v>0</v>
      </c>
    </row>
    <row r="47" spans="1:7" x14ac:dyDescent="0.25">
      <c r="A47" s="1">
        <v>45945</v>
      </c>
      <c r="B47">
        <v>8</v>
      </c>
      <c r="C47">
        <v>29</v>
      </c>
      <c r="D47">
        <v>10</v>
      </c>
      <c r="E47" s="2">
        <v>2225</v>
      </c>
      <c r="F47">
        <v>15</v>
      </c>
      <c r="G47">
        <f>Table1[[#This Row],[Children apprehended and placed in CBP custody*]]-Table1[[#This Row],[Children discharged from HHS Care]]</f>
        <v>-7</v>
      </c>
    </row>
    <row r="48" spans="1:7" x14ac:dyDescent="0.25">
      <c r="A48" s="1">
        <v>45944</v>
      </c>
      <c r="B48">
        <v>7</v>
      </c>
      <c r="C48">
        <v>30</v>
      </c>
      <c r="D48">
        <v>16</v>
      </c>
      <c r="E48" s="2">
        <v>2235</v>
      </c>
      <c r="F48">
        <v>8</v>
      </c>
      <c r="G48">
        <f>Table1[[#This Row],[Children apprehended and placed in CBP custody*]]-Table1[[#This Row],[Children discharged from HHS Care]]</f>
        <v>-1</v>
      </c>
    </row>
    <row r="49" spans="1:7" x14ac:dyDescent="0.25">
      <c r="A49" s="1">
        <v>45943</v>
      </c>
      <c r="B49">
        <v>8</v>
      </c>
      <c r="C49">
        <v>24</v>
      </c>
      <c r="D49">
        <v>7</v>
      </c>
      <c r="E49" s="2">
        <v>2223</v>
      </c>
      <c r="F49">
        <v>6</v>
      </c>
      <c r="G49">
        <f>Table1[[#This Row],[Children apprehended and placed in CBP custody*]]-Table1[[#This Row],[Children discharged from HHS Care]]</f>
        <v>2</v>
      </c>
    </row>
    <row r="50" spans="1:7" x14ac:dyDescent="0.25">
      <c r="A50" s="1">
        <v>45939</v>
      </c>
      <c r="B50">
        <v>11</v>
      </c>
      <c r="C50">
        <v>55</v>
      </c>
      <c r="D50">
        <v>13</v>
      </c>
      <c r="E50" s="2">
        <v>2192</v>
      </c>
      <c r="F50">
        <v>12</v>
      </c>
      <c r="G50">
        <f>Table1[[#This Row],[Children apprehended and placed in CBP custody*]]-Table1[[#This Row],[Children discharged from HHS Care]]</f>
        <v>-1</v>
      </c>
    </row>
    <row r="51" spans="1:7" x14ac:dyDescent="0.25">
      <c r="A51" s="1">
        <v>45938</v>
      </c>
      <c r="B51">
        <v>8</v>
      </c>
      <c r="C51">
        <v>49</v>
      </c>
      <c r="D51">
        <v>15</v>
      </c>
      <c r="E51" s="2">
        <v>2192</v>
      </c>
      <c r="F51">
        <v>17</v>
      </c>
      <c r="G51">
        <f>Table1[[#This Row],[Children apprehended and placed in CBP custody*]]-Table1[[#This Row],[Children discharged from HHS Care]]</f>
        <v>-9</v>
      </c>
    </row>
    <row r="52" spans="1:7" x14ac:dyDescent="0.25">
      <c r="A52" s="1">
        <v>45937</v>
      </c>
      <c r="B52">
        <v>11</v>
      </c>
      <c r="C52">
        <v>45</v>
      </c>
      <c r="D52">
        <v>4</v>
      </c>
      <c r="E52" s="2">
        <v>2189</v>
      </c>
      <c r="F52">
        <v>10</v>
      </c>
      <c r="G52">
        <f>Table1[[#This Row],[Children apprehended and placed in CBP custody*]]-Table1[[#This Row],[Children discharged from HHS Care]]</f>
        <v>1</v>
      </c>
    </row>
    <row r="53" spans="1:7" x14ac:dyDescent="0.25">
      <c r="A53" s="1">
        <v>45936</v>
      </c>
      <c r="B53">
        <v>5</v>
      </c>
      <c r="C53">
        <v>33</v>
      </c>
      <c r="D53">
        <v>15</v>
      </c>
      <c r="E53" s="2">
        <v>2187</v>
      </c>
      <c r="F53">
        <v>10</v>
      </c>
      <c r="G53">
        <f>Table1[[#This Row],[Children apprehended and placed in CBP custody*]]-Table1[[#This Row],[Children discharged from HHS Care]]</f>
        <v>-5</v>
      </c>
    </row>
    <row r="54" spans="1:7" x14ac:dyDescent="0.25">
      <c r="A54" s="1">
        <v>45935</v>
      </c>
      <c r="B54">
        <v>8</v>
      </c>
      <c r="C54">
        <v>28</v>
      </c>
      <c r="D54">
        <v>13</v>
      </c>
      <c r="E54" s="2">
        <v>2180</v>
      </c>
      <c r="F54">
        <v>16</v>
      </c>
      <c r="G54">
        <f>Table1[[#This Row],[Children apprehended and placed in CBP custody*]]-Table1[[#This Row],[Children discharged from HHS Care]]</f>
        <v>-8</v>
      </c>
    </row>
    <row r="55" spans="1:7" x14ac:dyDescent="0.25">
      <c r="A55" s="1">
        <v>45932</v>
      </c>
      <c r="B55">
        <v>20</v>
      </c>
      <c r="C55">
        <v>51</v>
      </c>
      <c r="D55">
        <v>15</v>
      </c>
      <c r="E55" s="2">
        <v>2164</v>
      </c>
      <c r="F55">
        <v>16</v>
      </c>
      <c r="G55">
        <f>Table1[[#This Row],[Children apprehended and placed in CBP custody*]]-Table1[[#This Row],[Children discharged from HHS Care]]</f>
        <v>4</v>
      </c>
    </row>
    <row r="56" spans="1:7" x14ac:dyDescent="0.25">
      <c r="A56" s="1">
        <v>45931</v>
      </c>
      <c r="B56">
        <v>4</v>
      </c>
      <c r="C56">
        <v>33</v>
      </c>
      <c r="D56">
        <v>12</v>
      </c>
      <c r="E56" s="2">
        <v>2163</v>
      </c>
      <c r="F56">
        <v>14</v>
      </c>
      <c r="G56">
        <f>Table1[[#This Row],[Children apprehended and placed in CBP custody*]]-Table1[[#This Row],[Children discharged from HHS Care]]</f>
        <v>-10</v>
      </c>
    </row>
    <row r="57" spans="1:7" x14ac:dyDescent="0.25">
      <c r="A57" s="1">
        <v>45930</v>
      </c>
      <c r="B57">
        <v>8</v>
      </c>
      <c r="C57">
        <v>32</v>
      </c>
      <c r="D57">
        <v>12</v>
      </c>
      <c r="E57" s="2">
        <v>2159</v>
      </c>
      <c r="F57">
        <v>7</v>
      </c>
      <c r="G57">
        <f>Table1[[#This Row],[Children apprehended and placed in CBP custody*]]-Table1[[#This Row],[Children discharged from HHS Care]]</f>
        <v>1</v>
      </c>
    </row>
    <row r="58" spans="1:7" x14ac:dyDescent="0.25">
      <c r="A58" s="1">
        <v>45929</v>
      </c>
      <c r="B58">
        <v>8</v>
      </c>
      <c r="C58">
        <v>35</v>
      </c>
      <c r="D58">
        <v>12</v>
      </c>
      <c r="E58" s="2">
        <v>2148</v>
      </c>
      <c r="F58">
        <v>13</v>
      </c>
      <c r="G58">
        <f>Table1[[#This Row],[Children apprehended and placed in CBP custody*]]-Table1[[#This Row],[Children discharged from HHS Care]]</f>
        <v>-5</v>
      </c>
    </row>
    <row r="59" spans="1:7" x14ac:dyDescent="0.25">
      <c r="A59" s="1">
        <v>45928</v>
      </c>
      <c r="B59">
        <v>11</v>
      </c>
      <c r="C59">
        <v>29</v>
      </c>
      <c r="D59">
        <v>12</v>
      </c>
      <c r="E59" s="2">
        <v>2146</v>
      </c>
      <c r="F59">
        <v>9</v>
      </c>
      <c r="G59">
        <f>Table1[[#This Row],[Children apprehended and placed in CBP custody*]]-Table1[[#This Row],[Children discharged from HHS Care]]</f>
        <v>2</v>
      </c>
    </row>
    <row r="60" spans="1:7" x14ac:dyDescent="0.25">
      <c r="A60" s="1">
        <v>45925</v>
      </c>
      <c r="B60">
        <v>6</v>
      </c>
      <c r="C60">
        <v>35</v>
      </c>
      <c r="D60">
        <v>12</v>
      </c>
      <c r="E60" s="2">
        <v>2132</v>
      </c>
      <c r="F60">
        <v>18</v>
      </c>
      <c r="G60">
        <f>Table1[[#This Row],[Children apprehended and placed in CBP custody*]]-Table1[[#This Row],[Children discharged from HHS Care]]</f>
        <v>-12</v>
      </c>
    </row>
    <row r="61" spans="1:7" x14ac:dyDescent="0.25">
      <c r="A61" s="1">
        <v>45924</v>
      </c>
      <c r="B61">
        <v>3</v>
      </c>
      <c r="C61">
        <v>38</v>
      </c>
      <c r="D61">
        <v>12</v>
      </c>
      <c r="E61" s="2">
        <v>2138</v>
      </c>
      <c r="F61">
        <v>17</v>
      </c>
      <c r="G61">
        <f>Table1[[#This Row],[Children apprehended and placed in CBP custody*]]-Table1[[#This Row],[Children discharged from HHS Care]]</f>
        <v>-14</v>
      </c>
    </row>
    <row r="62" spans="1:7" x14ac:dyDescent="0.25">
      <c r="A62" s="1">
        <v>45923</v>
      </c>
      <c r="B62">
        <v>11</v>
      </c>
      <c r="C62">
        <v>36</v>
      </c>
      <c r="D62">
        <v>10</v>
      </c>
      <c r="E62" s="2">
        <v>2145</v>
      </c>
      <c r="F62">
        <v>15</v>
      </c>
      <c r="G62">
        <f>Table1[[#This Row],[Children apprehended and placed in CBP custody*]]-Table1[[#This Row],[Children discharged from HHS Care]]</f>
        <v>-4</v>
      </c>
    </row>
    <row r="63" spans="1:7" x14ac:dyDescent="0.25">
      <c r="A63" s="1">
        <v>45922</v>
      </c>
      <c r="B63">
        <v>17</v>
      </c>
      <c r="C63">
        <v>40</v>
      </c>
      <c r="D63">
        <v>14</v>
      </c>
      <c r="E63" s="2">
        <v>2141</v>
      </c>
      <c r="F63">
        <v>10</v>
      </c>
      <c r="G63">
        <f>Table1[[#This Row],[Children apprehended and placed in CBP custody*]]-Table1[[#This Row],[Children discharged from HHS Care]]</f>
        <v>7</v>
      </c>
    </row>
    <row r="64" spans="1:7" x14ac:dyDescent="0.25">
      <c r="A64" s="1">
        <v>45921</v>
      </c>
      <c r="B64">
        <v>8</v>
      </c>
      <c r="C64">
        <v>35</v>
      </c>
      <c r="D64">
        <v>13</v>
      </c>
      <c r="E64" s="2">
        <v>2134</v>
      </c>
      <c r="F64">
        <v>5</v>
      </c>
      <c r="G64">
        <f>Table1[[#This Row],[Children apprehended and placed in CBP custody*]]-Table1[[#This Row],[Children discharged from HHS Care]]</f>
        <v>3</v>
      </c>
    </row>
    <row r="65" spans="1:7" x14ac:dyDescent="0.25">
      <c r="A65" s="1">
        <v>45918</v>
      </c>
      <c r="B65">
        <v>20</v>
      </c>
      <c r="C65">
        <v>52</v>
      </c>
      <c r="D65">
        <v>11</v>
      </c>
      <c r="E65" s="2">
        <v>2096</v>
      </c>
      <c r="F65">
        <v>14</v>
      </c>
      <c r="G65">
        <f>Table1[[#This Row],[Children apprehended and placed in CBP custody*]]-Table1[[#This Row],[Children discharged from HHS Care]]</f>
        <v>6</v>
      </c>
    </row>
    <row r="66" spans="1:7" x14ac:dyDescent="0.25">
      <c r="A66" s="1">
        <v>45917</v>
      </c>
      <c r="B66">
        <v>7</v>
      </c>
      <c r="C66">
        <v>38</v>
      </c>
      <c r="D66">
        <v>5</v>
      </c>
      <c r="E66" s="2">
        <v>2096</v>
      </c>
      <c r="F66">
        <v>13</v>
      </c>
      <c r="G66">
        <f>Table1[[#This Row],[Children apprehended and placed in CBP custody*]]-Table1[[#This Row],[Children discharged from HHS Care]]</f>
        <v>-6</v>
      </c>
    </row>
    <row r="67" spans="1:7" x14ac:dyDescent="0.25">
      <c r="A67" s="1">
        <v>45916</v>
      </c>
      <c r="B67">
        <v>7</v>
      </c>
      <c r="C67">
        <v>28</v>
      </c>
      <c r="D67">
        <v>17</v>
      </c>
      <c r="E67" s="2">
        <v>2095</v>
      </c>
      <c r="F67">
        <v>12</v>
      </c>
      <c r="G67">
        <f>Table1[[#This Row],[Children apprehended and placed in CBP custody*]]-Table1[[#This Row],[Children discharged from HHS Care]]</f>
        <v>-5</v>
      </c>
    </row>
    <row r="68" spans="1:7" x14ac:dyDescent="0.25">
      <c r="A68" s="1">
        <v>45915</v>
      </c>
      <c r="B68">
        <v>9</v>
      </c>
      <c r="C68">
        <v>47</v>
      </c>
      <c r="D68">
        <v>10</v>
      </c>
      <c r="E68" s="2">
        <v>2086</v>
      </c>
      <c r="F68">
        <v>10</v>
      </c>
      <c r="G68">
        <f>Table1[[#This Row],[Children apprehended and placed in CBP custody*]]-Table1[[#This Row],[Children discharged from HHS Care]]</f>
        <v>-1</v>
      </c>
    </row>
    <row r="69" spans="1:7" x14ac:dyDescent="0.25">
      <c r="A69" s="1">
        <v>45914</v>
      </c>
      <c r="B69">
        <v>7</v>
      </c>
      <c r="C69">
        <v>39</v>
      </c>
      <c r="D69">
        <v>13</v>
      </c>
      <c r="E69" s="2">
        <v>2083</v>
      </c>
      <c r="F69">
        <v>5</v>
      </c>
      <c r="G69">
        <f>Table1[[#This Row],[Children apprehended and placed in CBP custody*]]-Table1[[#This Row],[Children discharged from HHS Care]]</f>
        <v>2</v>
      </c>
    </row>
    <row r="70" spans="1:7" x14ac:dyDescent="0.25">
      <c r="A70" s="1">
        <v>45911</v>
      </c>
      <c r="B70">
        <v>12</v>
      </c>
      <c r="C70">
        <v>38</v>
      </c>
      <c r="D70">
        <v>29</v>
      </c>
      <c r="E70" s="2">
        <v>2047</v>
      </c>
      <c r="F70">
        <v>6</v>
      </c>
      <c r="G70">
        <f>Table1[[#This Row],[Children apprehended and placed in CBP custody*]]-Table1[[#This Row],[Children discharged from HHS Care]]</f>
        <v>6</v>
      </c>
    </row>
    <row r="71" spans="1:7" x14ac:dyDescent="0.25">
      <c r="A71" s="1">
        <v>45910</v>
      </c>
      <c r="B71">
        <v>10</v>
      </c>
      <c r="C71">
        <v>47</v>
      </c>
      <c r="D71">
        <v>14</v>
      </c>
      <c r="E71" s="2">
        <v>2025</v>
      </c>
      <c r="F71">
        <v>18</v>
      </c>
      <c r="G71">
        <f>Table1[[#This Row],[Children apprehended and placed in CBP custody*]]-Table1[[#This Row],[Children discharged from HHS Care]]</f>
        <v>-8</v>
      </c>
    </row>
    <row r="72" spans="1:7" x14ac:dyDescent="0.25">
      <c r="A72" s="1">
        <v>45909</v>
      </c>
      <c r="B72">
        <v>18</v>
      </c>
      <c r="C72">
        <v>42</v>
      </c>
      <c r="D72">
        <v>11</v>
      </c>
      <c r="E72" s="2">
        <v>2023</v>
      </c>
      <c r="F72">
        <v>14</v>
      </c>
      <c r="G72">
        <f>Table1[[#This Row],[Children apprehended and placed in CBP custody*]]-Table1[[#This Row],[Children discharged from HHS Care]]</f>
        <v>4</v>
      </c>
    </row>
    <row r="73" spans="1:7" x14ac:dyDescent="0.25">
      <c r="A73" s="1">
        <v>45908</v>
      </c>
      <c r="B73">
        <v>7</v>
      </c>
      <c r="C73">
        <v>25</v>
      </c>
      <c r="D73">
        <v>5</v>
      </c>
      <c r="E73" s="2">
        <v>2025</v>
      </c>
      <c r="F73">
        <v>6</v>
      </c>
      <c r="G73">
        <f>Table1[[#This Row],[Children apprehended and placed in CBP custody*]]-Table1[[#This Row],[Children discharged from HHS Care]]</f>
        <v>1</v>
      </c>
    </row>
    <row r="74" spans="1:7" x14ac:dyDescent="0.25">
      <c r="A74" s="1">
        <v>45907</v>
      </c>
      <c r="B74">
        <v>4</v>
      </c>
      <c r="C74">
        <v>19</v>
      </c>
      <c r="D74">
        <v>9</v>
      </c>
      <c r="E74" s="2">
        <v>2026</v>
      </c>
      <c r="F74">
        <v>7</v>
      </c>
      <c r="G74">
        <f>Table1[[#This Row],[Children apprehended and placed in CBP custody*]]-Table1[[#This Row],[Children discharged from HHS Care]]</f>
        <v>-3</v>
      </c>
    </row>
    <row r="75" spans="1:7" x14ac:dyDescent="0.25">
      <c r="A75" s="1">
        <v>45904</v>
      </c>
      <c r="B75">
        <v>11</v>
      </c>
      <c r="C75">
        <v>40</v>
      </c>
      <c r="D75">
        <v>2</v>
      </c>
      <c r="E75" s="2">
        <v>2015</v>
      </c>
      <c r="F75">
        <v>14</v>
      </c>
      <c r="G75">
        <f>Table1[[#This Row],[Children apprehended and placed in CBP custody*]]-Table1[[#This Row],[Children discharged from HHS Care]]</f>
        <v>-3</v>
      </c>
    </row>
    <row r="76" spans="1:7" x14ac:dyDescent="0.25">
      <c r="A76" s="1">
        <v>45903</v>
      </c>
      <c r="B76">
        <v>4</v>
      </c>
      <c r="C76">
        <v>29</v>
      </c>
      <c r="D76">
        <v>11</v>
      </c>
      <c r="E76" s="2">
        <v>2019</v>
      </c>
      <c r="F76">
        <v>10</v>
      </c>
      <c r="G76">
        <f>Table1[[#This Row],[Children apprehended and placed in CBP custody*]]-Table1[[#This Row],[Children discharged from HHS Care]]</f>
        <v>-6</v>
      </c>
    </row>
    <row r="77" spans="1:7" x14ac:dyDescent="0.25">
      <c r="A77" s="1">
        <v>45902</v>
      </c>
      <c r="B77">
        <v>6</v>
      </c>
      <c r="C77">
        <v>35</v>
      </c>
      <c r="D77">
        <v>9</v>
      </c>
      <c r="E77" s="2">
        <v>2020</v>
      </c>
      <c r="F77">
        <v>9</v>
      </c>
      <c r="G77">
        <f>Table1[[#This Row],[Children apprehended and placed in CBP custody*]]-Table1[[#This Row],[Children discharged from HHS Care]]</f>
        <v>-3</v>
      </c>
    </row>
    <row r="78" spans="1:7" x14ac:dyDescent="0.25">
      <c r="A78" s="1">
        <v>45901</v>
      </c>
      <c r="B78">
        <v>10</v>
      </c>
      <c r="C78">
        <v>29</v>
      </c>
      <c r="D78">
        <v>17</v>
      </c>
      <c r="E78" s="2">
        <v>2010</v>
      </c>
      <c r="F78">
        <v>5</v>
      </c>
      <c r="G78">
        <f>Table1[[#This Row],[Children apprehended and placed in CBP custody*]]-Table1[[#This Row],[Children discharged from HHS Care]]</f>
        <v>5</v>
      </c>
    </row>
    <row r="79" spans="1:7" x14ac:dyDescent="0.25">
      <c r="A79" s="1">
        <v>45897</v>
      </c>
      <c r="B79">
        <v>8</v>
      </c>
      <c r="C79">
        <v>33</v>
      </c>
      <c r="D79">
        <v>6</v>
      </c>
      <c r="E79" s="2">
        <v>1984</v>
      </c>
      <c r="F79">
        <v>17</v>
      </c>
      <c r="G79">
        <f>Table1[[#This Row],[Children apprehended and placed in CBP custody*]]-Table1[[#This Row],[Children discharged from HHS Care]]</f>
        <v>-9</v>
      </c>
    </row>
    <row r="80" spans="1:7" x14ac:dyDescent="0.25">
      <c r="A80" s="1">
        <v>45896</v>
      </c>
      <c r="B80">
        <v>5</v>
      </c>
      <c r="C80">
        <v>19</v>
      </c>
      <c r="D80">
        <v>9</v>
      </c>
      <c r="E80" s="2">
        <v>1988</v>
      </c>
      <c r="F80">
        <v>19</v>
      </c>
      <c r="G80">
        <f>Table1[[#This Row],[Children apprehended and placed in CBP custody*]]-Table1[[#This Row],[Children discharged from HHS Care]]</f>
        <v>-14</v>
      </c>
    </row>
    <row r="81" spans="1:7" x14ac:dyDescent="0.25">
      <c r="A81" s="1">
        <v>45895</v>
      </c>
      <c r="B81">
        <v>10</v>
      </c>
      <c r="C81">
        <v>21</v>
      </c>
      <c r="D81">
        <v>20</v>
      </c>
      <c r="E81" s="2">
        <v>1989</v>
      </c>
      <c r="F81">
        <v>15</v>
      </c>
      <c r="G81">
        <f>Table1[[#This Row],[Children apprehended and placed in CBP custody*]]-Table1[[#This Row],[Children discharged from HHS Care]]</f>
        <v>-5</v>
      </c>
    </row>
    <row r="82" spans="1:7" x14ac:dyDescent="0.25">
      <c r="A82" s="1">
        <v>45894</v>
      </c>
      <c r="B82">
        <v>8</v>
      </c>
      <c r="C82">
        <v>30</v>
      </c>
      <c r="D82">
        <v>8</v>
      </c>
      <c r="E82" s="2">
        <v>1980</v>
      </c>
      <c r="F82">
        <v>11</v>
      </c>
      <c r="G82">
        <f>Table1[[#This Row],[Children apprehended and placed in CBP custody*]]-Table1[[#This Row],[Children discharged from HHS Care]]</f>
        <v>-3</v>
      </c>
    </row>
    <row r="83" spans="1:7" x14ac:dyDescent="0.25">
      <c r="A83" s="1">
        <v>45893</v>
      </c>
      <c r="B83">
        <v>4</v>
      </c>
      <c r="C83">
        <v>21</v>
      </c>
      <c r="D83">
        <v>5</v>
      </c>
      <c r="E83" s="2">
        <v>1981</v>
      </c>
      <c r="F83">
        <v>5</v>
      </c>
      <c r="G83">
        <f>Table1[[#This Row],[Children apprehended and placed in CBP custody*]]-Table1[[#This Row],[Children discharged from HHS Care]]</f>
        <v>-1</v>
      </c>
    </row>
    <row r="84" spans="1:7" x14ac:dyDescent="0.25">
      <c r="A84" s="1">
        <v>45890</v>
      </c>
      <c r="B84">
        <v>6</v>
      </c>
      <c r="C84">
        <v>49</v>
      </c>
      <c r="D84">
        <v>8</v>
      </c>
      <c r="E84" s="2">
        <v>1972</v>
      </c>
      <c r="F84">
        <v>21</v>
      </c>
      <c r="G84">
        <f>Table1[[#This Row],[Children apprehended and placed in CBP custody*]]-Table1[[#This Row],[Children discharged from HHS Care]]</f>
        <v>-15</v>
      </c>
    </row>
    <row r="85" spans="1:7" x14ac:dyDescent="0.25">
      <c r="A85" s="1">
        <v>45889</v>
      </c>
      <c r="B85">
        <v>10</v>
      </c>
      <c r="C85">
        <v>38</v>
      </c>
      <c r="D85">
        <v>10</v>
      </c>
      <c r="E85" s="2">
        <v>1983</v>
      </c>
      <c r="F85">
        <v>10</v>
      </c>
      <c r="G85">
        <f>Table1[[#This Row],[Children apprehended and placed in CBP custody*]]-Table1[[#This Row],[Children discharged from HHS Care]]</f>
        <v>0</v>
      </c>
    </row>
    <row r="86" spans="1:7" x14ac:dyDescent="0.25">
      <c r="A86" s="1">
        <v>45888</v>
      </c>
      <c r="B86">
        <v>5</v>
      </c>
      <c r="C86">
        <v>35</v>
      </c>
      <c r="D86">
        <v>3</v>
      </c>
      <c r="E86" s="2">
        <v>1980</v>
      </c>
      <c r="F86">
        <v>11</v>
      </c>
      <c r="G86">
        <f>Table1[[#This Row],[Children apprehended and placed in CBP custody*]]-Table1[[#This Row],[Children discharged from HHS Care]]</f>
        <v>-6</v>
      </c>
    </row>
    <row r="87" spans="1:7" x14ac:dyDescent="0.25">
      <c r="A87" s="1">
        <v>45887</v>
      </c>
      <c r="B87">
        <v>4</v>
      </c>
      <c r="C87">
        <v>20</v>
      </c>
      <c r="D87">
        <v>6</v>
      </c>
      <c r="E87" s="2">
        <v>1985</v>
      </c>
      <c r="F87">
        <v>14</v>
      </c>
      <c r="G87">
        <f>Table1[[#This Row],[Children apprehended and placed in CBP custody*]]-Table1[[#This Row],[Children discharged from HHS Care]]</f>
        <v>-10</v>
      </c>
    </row>
    <row r="88" spans="1:7" x14ac:dyDescent="0.25">
      <c r="A88" s="1">
        <v>45886</v>
      </c>
      <c r="B88">
        <v>4</v>
      </c>
      <c r="C88">
        <v>14</v>
      </c>
      <c r="D88">
        <v>2</v>
      </c>
      <c r="E88" s="2">
        <v>1991</v>
      </c>
      <c r="F88">
        <v>3</v>
      </c>
      <c r="G88">
        <f>Table1[[#This Row],[Children apprehended and placed in CBP custody*]]-Table1[[#This Row],[Children discharged from HHS Care]]</f>
        <v>1</v>
      </c>
    </row>
    <row r="89" spans="1:7" x14ac:dyDescent="0.25">
      <c r="A89" s="1">
        <v>45883</v>
      </c>
      <c r="B89">
        <v>3</v>
      </c>
      <c r="C89">
        <v>27</v>
      </c>
      <c r="D89">
        <v>4</v>
      </c>
      <c r="E89" s="2">
        <v>1994</v>
      </c>
      <c r="F89">
        <v>11</v>
      </c>
      <c r="G89">
        <f>Table1[[#This Row],[Children apprehended and placed in CBP custody*]]-Table1[[#This Row],[Children discharged from HHS Care]]</f>
        <v>-8</v>
      </c>
    </row>
    <row r="90" spans="1:7" x14ac:dyDescent="0.25">
      <c r="A90" s="1">
        <v>45882</v>
      </c>
      <c r="B90">
        <v>6</v>
      </c>
      <c r="C90">
        <v>22</v>
      </c>
      <c r="D90">
        <v>12</v>
      </c>
      <c r="E90" s="2">
        <v>1997</v>
      </c>
      <c r="F90">
        <v>17</v>
      </c>
      <c r="G90">
        <f>Table1[[#This Row],[Children apprehended and placed in CBP custody*]]-Table1[[#This Row],[Children discharged from HHS Care]]</f>
        <v>-11</v>
      </c>
    </row>
    <row r="91" spans="1:7" x14ac:dyDescent="0.25">
      <c r="A91" s="1">
        <v>45881</v>
      </c>
      <c r="B91">
        <v>8</v>
      </c>
      <c r="C91">
        <v>38</v>
      </c>
      <c r="D91">
        <v>9</v>
      </c>
      <c r="E91" s="2">
        <v>1999</v>
      </c>
      <c r="F91">
        <v>9</v>
      </c>
      <c r="G91">
        <f>Table1[[#This Row],[Children apprehended and placed in CBP custody*]]-Table1[[#This Row],[Children discharged from HHS Care]]</f>
        <v>-1</v>
      </c>
    </row>
    <row r="92" spans="1:7" x14ac:dyDescent="0.25">
      <c r="A92" s="1">
        <v>45880</v>
      </c>
      <c r="B92">
        <v>6</v>
      </c>
      <c r="C92">
        <v>23</v>
      </c>
      <c r="D92">
        <v>4</v>
      </c>
      <c r="E92" s="2">
        <v>1999</v>
      </c>
      <c r="F92">
        <v>16</v>
      </c>
      <c r="G92">
        <f>Table1[[#This Row],[Children apprehended and placed in CBP custody*]]-Table1[[#This Row],[Children discharged from HHS Care]]</f>
        <v>-10</v>
      </c>
    </row>
    <row r="93" spans="1:7" x14ac:dyDescent="0.25">
      <c r="A93" s="1">
        <v>45879</v>
      </c>
      <c r="B93">
        <v>0</v>
      </c>
      <c r="C93">
        <v>18</v>
      </c>
      <c r="D93">
        <v>8</v>
      </c>
      <c r="E93" s="2">
        <v>2006</v>
      </c>
      <c r="F93">
        <v>12</v>
      </c>
      <c r="G93">
        <f>Table1[[#This Row],[Children apprehended and placed in CBP custody*]]-Table1[[#This Row],[Children discharged from HHS Care]]</f>
        <v>-12</v>
      </c>
    </row>
    <row r="94" spans="1:7" x14ac:dyDescent="0.25">
      <c r="A94" s="1">
        <v>45876</v>
      </c>
      <c r="B94">
        <v>4</v>
      </c>
      <c r="C94">
        <v>18</v>
      </c>
      <c r="D94">
        <v>6</v>
      </c>
      <c r="E94" s="2">
        <v>2031</v>
      </c>
      <c r="F94">
        <v>17</v>
      </c>
      <c r="G94">
        <f>Table1[[#This Row],[Children apprehended and placed in CBP custody*]]-Table1[[#This Row],[Children discharged from HHS Care]]</f>
        <v>-13</v>
      </c>
    </row>
    <row r="95" spans="1:7" x14ac:dyDescent="0.25">
      <c r="A95" s="1">
        <v>45875</v>
      </c>
      <c r="B95">
        <v>4</v>
      </c>
      <c r="C95">
        <v>17</v>
      </c>
      <c r="D95">
        <v>3</v>
      </c>
      <c r="E95" s="2">
        <v>2036</v>
      </c>
      <c r="F95">
        <v>13</v>
      </c>
      <c r="G95">
        <f>Table1[[#This Row],[Children apprehended and placed in CBP custody*]]-Table1[[#This Row],[Children discharged from HHS Care]]</f>
        <v>-9</v>
      </c>
    </row>
    <row r="96" spans="1:7" x14ac:dyDescent="0.25">
      <c r="A96" s="1">
        <v>45874</v>
      </c>
      <c r="B96">
        <v>2</v>
      </c>
      <c r="C96">
        <v>21</v>
      </c>
      <c r="D96">
        <v>10</v>
      </c>
      <c r="E96" s="2">
        <v>2042</v>
      </c>
      <c r="F96">
        <v>14</v>
      </c>
      <c r="G96">
        <f>Table1[[#This Row],[Children apprehended and placed in CBP custody*]]-Table1[[#This Row],[Children discharged from HHS Care]]</f>
        <v>-12</v>
      </c>
    </row>
    <row r="97" spans="1:7" x14ac:dyDescent="0.25">
      <c r="A97" s="1">
        <v>45873</v>
      </c>
      <c r="B97">
        <v>5</v>
      </c>
      <c r="C97">
        <v>22</v>
      </c>
      <c r="D97">
        <v>11</v>
      </c>
      <c r="E97" s="2">
        <v>2040</v>
      </c>
      <c r="F97">
        <v>14</v>
      </c>
      <c r="G97">
        <f>Table1[[#This Row],[Children apprehended and placed in CBP custody*]]-Table1[[#This Row],[Children discharged from HHS Care]]</f>
        <v>-9</v>
      </c>
    </row>
    <row r="98" spans="1:7" x14ac:dyDescent="0.25">
      <c r="A98" s="1">
        <v>45872</v>
      </c>
      <c r="B98">
        <v>5</v>
      </c>
      <c r="C98">
        <v>26</v>
      </c>
      <c r="D98">
        <v>3</v>
      </c>
      <c r="E98" s="2">
        <v>2049</v>
      </c>
      <c r="F98">
        <v>5</v>
      </c>
      <c r="G98">
        <f>Table1[[#This Row],[Children apprehended and placed in CBP custody*]]-Table1[[#This Row],[Children discharged from HHS Care]]</f>
        <v>0</v>
      </c>
    </row>
    <row r="99" spans="1:7" x14ac:dyDescent="0.25">
      <c r="A99" s="1">
        <v>45869</v>
      </c>
      <c r="B99">
        <v>2</v>
      </c>
      <c r="C99">
        <v>9</v>
      </c>
      <c r="D99">
        <v>6</v>
      </c>
      <c r="E99" s="2">
        <v>2058</v>
      </c>
      <c r="F99">
        <v>15</v>
      </c>
      <c r="G99">
        <f>Table1[[#This Row],[Children apprehended and placed in CBP custody*]]-Table1[[#This Row],[Children discharged from HHS Care]]</f>
        <v>-13</v>
      </c>
    </row>
    <row r="100" spans="1:7" x14ac:dyDescent="0.25">
      <c r="A100" s="1">
        <v>45868</v>
      </c>
      <c r="B100">
        <v>4</v>
      </c>
      <c r="C100">
        <v>15</v>
      </c>
      <c r="D100">
        <v>4</v>
      </c>
      <c r="E100" s="2">
        <v>2063</v>
      </c>
      <c r="F100">
        <v>16</v>
      </c>
      <c r="G100">
        <f>Table1[[#This Row],[Children apprehended and placed in CBP custody*]]-Table1[[#This Row],[Children discharged from HHS Care]]</f>
        <v>-12</v>
      </c>
    </row>
    <row r="101" spans="1:7" x14ac:dyDescent="0.25">
      <c r="A101" s="1">
        <v>45867</v>
      </c>
      <c r="B101">
        <v>2</v>
      </c>
      <c r="C101">
        <v>8</v>
      </c>
      <c r="D101">
        <v>3</v>
      </c>
      <c r="E101" s="2">
        <v>2072</v>
      </c>
      <c r="F101">
        <v>12</v>
      </c>
      <c r="G101">
        <f>Table1[[#This Row],[Children apprehended and placed in CBP custody*]]-Table1[[#This Row],[Children discharged from HHS Care]]</f>
        <v>-10</v>
      </c>
    </row>
    <row r="102" spans="1:7" x14ac:dyDescent="0.25">
      <c r="A102" s="1">
        <v>45866</v>
      </c>
      <c r="B102">
        <v>2</v>
      </c>
      <c r="C102">
        <v>9</v>
      </c>
      <c r="D102">
        <v>3</v>
      </c>
      <c r="E102" s="2">
        <v>2080</v>
      </c>
      <c r="F102">
        <v>14</v>
      </c>
      <c r="G102">
        <f>Table1[[#This Row],[Children apprehended and placed in CBP custody*]]-Table1[[#This Row],[Children discharged from HHS Care]]</f>
        <v>-12</v>
      </c>
    </row>
    <row r="103" spans="1:7" x14ac:dyDescent="0.25">
      <c r="A103" s="1">
        <v>45865</v>
      </c>
      <c r="B103">
        <v>1</v>
      </c>
      <c r="C103">
        <v>12</v>
      </c>
      <c r="D103">
        <v>2</v>
      </c>
      <c r="E103" s="2">
        <v>2088</v>
      </c>
      <c r="F103">
        <v>4</v>
      </c>
      <c r="G103">
        <f>Table1[[#This Row],[Children apprehended and placed in CBP custody*]]-Table1[[#This Row],[Children discharged from HHS Care]]</f>
        <v>-3</v>
      </c>
    </row>
    <row r="104" spans="1:7" x14ac:dyDescent="0.25">
      <c r="A104" s="1">
        <v>45862</v>
      </c>
      <c r="B104">
        <v>6</v>
      </c>
      <c r="C104">
        <v>18</v>
      </c>
      <c r="D104">
        <v>7</v>
      </c>
      <c r="E104" s="2">
        <v>2096</v>
      </c>
      <c r="F104">
        <v>29</v>
      </c>
      <c r="G104">
        <f>Table1[[#This Row],[Children apprehended and placed in CBP custody*]]-Table1[[#This Row],[Children discharged from HHS Care]]</f>
        <v>-23</v>
      </c>
    </row>
    <row r="105" spans="1:7" x14ac:dyDescent="0.25">
      <c r="A105" s="1">
        <v>45861</v>
      </c>
      <c r="B105">
        <v>6</v>
      </c>
      <c r="C105">
        <v>21</v>
      </c>
      <c r="D105">
        <v>5</v>
      </c>
      <c r="E105" s="2">
        <v>2111</v>
      </c>
      <c r="F105">
        <v>14</v>
      </c>
      <c r="G105">
        <f>Table1[[#This Row],[Children apprehended and placed in CBP custody*]]-Table1[[#This Row],[Children discharged from HHS Care]]</f>
        <v>-8</v>
      </c>
    </row>
    <row r="106" spans="1:7" x14ac:dyDescent="0.25">
      <c r="A106" s="1">
        <v>45860</v>
      </c>
      <c r="B106">
        <v>5</v>
      </c>
      <c r="C106">
        <v>13</v>
      </c>
      <c r="D106">
        <v>3</v>
      </c>
      <c r="E106" s="2">
        <v>2117</v>
      </c>
      <c r="F106">
        <v>16</v>
      </c>
      <c r="G106">
        <f>Table1[[#This Row],[Children apprehended and placed in CBP custody*]]-Table1[[#This Row],[Children discharged from HHS Care]]</f>
        <v>-11</v>
      </c>
    </row>
    <row r="107" spans="1:7" x14ac:dyDescent="0.25">
      <c r="A107" s="1">
        <v>45859</v>
      </c>
      <c r="B107">
        <v>4</v>
      </c>
      <c r="C107">
        <v>18</v>
      </c>
      <c r="D107">
        <v>7</v>
      </c>
      <c r="E107" s="2">
        <v>2121</v>
      </c>
      <c r="F107">
        <v>16</v>
      </c>
      <c r="G107">
        <f>Table1[[#This Row],[Children apprehended and placed in CBP custody*]]-Table1[[#This Row],[Children discharged from HHS Care]]</f>
        <v>-12</v>
      </c>
    </row>
    <row r="108" spans="1:7" x14ac:dyDescent="0.25">
      <c r="A108" s="1">
        <v>45855</v>
      </c>
      <c r="B108">
        <v>3</v>
      </c>
      <c r="C108">
        <v>16</v>
      </c>
      <c r="D108">
        <v>2</v>
      </c>
      <c r="E108" s="2">
        <v>2153</v>
      </c>
      <c r="F108">
        <v>17</v>
      </c>
      <c r="G108">
        <f>Table1[[#This Row],[Children apprehended and placed in CBP custody*]]-Table1[[#This Row],[Children discharged from HHS Care]]</f>
        <v>-14</v>
      </c>
    </row>
    <row r="109" spans="1:7" x14ac:dyDescent="0.25">
      <c r="A109" s="1">
        <v>45854</v>
      </c>
      <c r="B109">
        <v>1</v>
      </c>
      <c r="C109">
        <v>9</v>
      </c>
      <c r="D109">
        <v>0</v>
      </c>
      <c r="E109" s="2">
        <v>2164</v>
      </c>
      <c r="F109">
        <v>11</v>
      </c>
      <c r="G109">
        <f>Table1[[#This Row],[Children apprehended and placed in CBP custody*]]-Table1[[#This Row],[Children discharged from HHS Care]]</f>
        <v>-10</v>
      </c>
    </row>
    <row r="110" spans="1:7" x14ac:dyDescent="0.25">
      <c r="A110" s="1">
        <v>45853</v>
      </c>
      <c r="B110">
        <v>0</v>
      </c>
      <c r="C110">
        <v>8</v>
      </c>
      <c r="D110">
        <v>5</v>
      </c>
      <c r="E110" s="2">
        <v>2171</v>
      </c>
      <c r="F110">
        <v>17</v>
      </c>
      <c r="G110">
        <f>Table1[[#This Row],[Children apprehended and placed in CBP custody*]]-Table1[[#This Row],[Children discharged from HHS Care]]</f>
        <v>-17</v>
      </c>
    </row>
    <row r="111" spans="1:7" x14ac:dyDescent="0.25">
      <c r="A111" s="1">
        <v>45852</v>
      </c>
      <c r="B111">
        <v>2</v>
      </c>
      <c r="C111">
        <v>9</v>
      </c>
      <c r="D111">
        <v>1</v>
      </c>
      <c r="E111" s="2">
        <v>2181</v>
      </c>
      <c r="F111">
        <v>26</v>
      </c>
      <c r="G111">
        <f>Table1[[#This Row],[Children apprehended and placed in CBP custody*]]-Table1[[#This Row],[Children discharged from HHS Care]]</f>
        <v>-24</v>
      </c>
    </row>
    <row r="112" spans="1:7" x14ac:dyDescent="0.25">
      <c r="A112" s="1">
        <v>45851</v>
      </c>
      <c r="B112">
        <v>1</v>
      </c>
      <c r="C112">
        <v>13</v>
      </c>
      <c r="D112">
        <v>4</v>
      </c>
      <c r="E112" s="2">
        <v>2204</v>
      </c>
      <c r="F112">
        <v>10</v>
      </c>
      <c r="G112">
        <f>Table1[[#This Row],[Children apprehended and placed in CBP custody*]]-Table1[[#This Row],[Children discharged from HHS Care]]</f>
        <v>-9</v>
      </c>
    </row>
    <row r="113" spans="1:7" x14ac:dyDescent="0.25">
      <c r="A113" s="1">
        <v>45848</v>
      </c>
      <c r="B113">
        <v>2</v>
      </c>
      <c r="C113">
        <v>12</v>
      </c>
      <c r="D113">
        <v>3</v>
      </c>
      <c r="E113" s="2">
        <v>2252</v>
      </c>
      <c r="F113">
        <v>39</v>
      </c>
      <c r="G113">
        <f>Table1[[#This Row],[Children apprehended and placed in CBP custody*]]-Table1[[#This Row],[Children discharged from HHS Care]]</f>
        <v>-37</v>
      </c>
    </row>
    <row r="114" spans="1:7" x14ac:dyDescent="0.25">
      <c r="A114" s="1">
        <v>45847</v>
      </c>
      <c r="B114">
        <v>2</v>
      </c>
      <c r="C114">
        <v>18</v>
      </c>
      <c r="D114">
        <v>0</v>
      </c>
      <c r="E114" s="2">
        <v>2281</v>
      </c>
      <c r="F114">
        <v>32</v>
      </c>
      <c r="G114">
        <f>Table1[[#This Row],[Children apprehended and placed in CBP custody*]]-Table1[[#This Row],[Children discharged from HHS Care]]</f>
        <v>-30</v>
      </c>
    </row>
    <row r="115" spans="1:7" x14ac:dyDescent="0.25">
      <c r="A115" s="1">
        <v>45846</v>
      </c>
      <c r="B115">
        <v>5</v>
      </c>
      <c r="C115">
        <v>16</v>
      </c>
      <c r="D115">
        <v>8</v>
      </c>
      <c r="E115" s="2">
        <v>2306</v>
      </c>
      <c r="F115">
        <v>20</v>
      </c>
      <c r="G115">
        <f>Table1[[#This Row],[Children apprehended and placed in CBP custody*]]-Table1[[#This Row],[Children discharged from HHS Care]]</f>
        <v>-15</v>
      </c>
    </row>
    <row r="116" spans="1:7" x14ac:dyDescent="0.25">
      <c r="A116" s="1">
        <v>45845</v>
      </c>
      <c r="B116">
        <v>3</v>
      </c>
      <c r="C116">
        <v>18</v>
      </c>
      <c r="D116">
        <v>8</v>
      </c>
      <c r="E116" s="2">
        <v>2317</v>
      </c>
      <c r="F116">
        <v>20</v>
      </c>
      <c r="G116">
        <f>Table1[[#This Row],[Children apprehended and placed in CBP custody*]]-Table1[[#This Row],[Children discharged from HHS Care]]</f>
        <v>-17</v>
      </c>
    </row>
    <row r="117" spans="1:7" x14ac:dyDescent="0.25">
      <c r="A117" s="1">
        <v>45844</v>
      </c>
      <c r="B117">
        <v>4</v>
      </c>
      <c r="C117">
        <v>17</v>
      </c>
      <c r="D117">
        <v>2</v>
      </c>
      <c r="E117" s="2">
        <v>2332</v>
      </c>
      <c r="F117">
        <v>8</v>
      </c>
      <c r="G117">
        <f>Table1[[#This Row],[Children apprehended and placed in CBP custody*]]-Table1[[#This Row],[Children discharged from HHS Care]]</f>
        <v>-4</v>
      </c>
    </row>
    <row r="118" spans="1:7" x14ac:dyDescent="0.25">
      <c r="A118" s="1">
        <v>45840</v>
      </c>
      <c r="B118">
        <v>8</v>
      </c>
      <c r="C118">
        <v>20</v>
      </c>
      <c r="D118">
        <v>9</v>
      </c>
      <c r="E118" s="2">
        <v>2373</v>
      </c>
      <c r="F118">
        <v>38</v>
      </c>
      <c r="G118">
        <f>Table1[[#This Row],[Children apprehended and placed in CBP custody*]]-Table1[[#This Row],[Children discharged from HHS Care]]</f>
        <v>-30</v>
      </c>
    </row>
    <row r="119" spans="1:7" x14ac:dyDescent="0.25">
      <c r="A119" s="1">
        <v>45839</v>
      </c>
      <c r="B119">
        <v>7</v>
      </c>
      <c r="C119">
        <v>14</v>
      </c>
      <c r="D119">
        <v>6</v>
      </c>
      <c r="E119" s="2">
        <v>2391</v>
      </c>
      <c r="F119">
        <v>22</v>
      </c>
      <c r="G119">
        <f>Table1[[#This Row],[Children apprehended and placed in CBP custody*]]-Table1[[#This Row],[Children discharged from HHS Care]]</f>
        <v>-15</v>
      </c>
    </row>
    <row r="120" spans="1:7" x14ac:dyDescent="0.25">
      <c r="A120" s="1">
        <v>45838</v>
      </c>
      <c r="B120">
        <v>9</v>
      </c>
      <c r="C120">
        <v>22</v>
      </c>
      <c r="D120">
        <v>8</v>
      </c>
      <c r="E120" s="2">
        <v>2407</v>
      </c>
      <c r="F120">
        <v>16</v>
      </c>
      <c r="G120">
        <f>Table1[[#This Row],[Children apprehended and placed in CBP custody*]]-Table1[[#This Row],[Children discharged from HHS Care]]</f>
        <v>-7</v>
      </c>
    </row>
    <row r="121" spans="1:7" x14ac:dyDescent="0.25">
      <c r="A121" s="1">
        <v>45837</v>
      </c>
      <c r="B121">
        <v>5</v>
      </c>
      <c r="C121">
        <v>17</v>
      </c>
      <c r="D121">
        <v>7</v>
      </c>
      <c r="E121" s="2">
        <v>2413</v>
      </c>
      <c r="F121">
        <v>20</v>
      </c>
      <c r="G121">
        <f>Table1[[#This Row],[Children apprehended and placed in CBP custody*]]-Table1[[#This Row],[Children discharged from HHS Care]]</f>
        <v>-15</v>
      </c>
    </row>
    <row r="122" spans="1:7" x14ac:dyDescent="0.25">
      <c r="A122" s="1">
        <v>45834</v>
      </c>
      <c r="B122">
        <v>3</v>
      </c>
      <c r="C122">
        <v>9</v>
      </c>
      <c r="D122">
        <v>7</v>
      </c>
      <c r="E122" s="2">
        <v>2447</v>
      </c>
      <c r="F122">
        <v>35</v>
      </c>
      <c r="G122">
        <f>Table1[[#This Row],[Children apprehended and placed in CBP custody*]]-Table1[[#This Row],[Children discharged from HHS Care]]</f>
        <v>-32</v>
      </c>
    </row>
    <row r="123" spans="1:7" x14ac:dyDescent="0.25">
      <c r="A123" s="1">
        <v>45833</v>
      </c>
      <c r="B123">
        <v>6</v>
      </c>
      <c r="C123">
        <v>12</v>
      </c>
      <c r="D123">
        <v>2</v>
      </c>
      <c r="E123" s="2">
        <v>2470</v>
      </c>
      <c r="F123">
        <v>24</v>
      </c>
      <c r="G123">
        <f>Table1[[#This Row],[Children apprehended and placed in CBP custody*]]-Table1[[#This Row],[Children discharged from HHS Care]]</f>
        <v>-18</v>
      </c>
    </row>
    <row r="124" spans="1:7" x14ac:dyDescent="0.25">
      <c r="A124" s="1">
        <v>45832</v>
      </c>
      <c r="B124">
        <v>5</v>
      </c>
      <c r="C124">
        <v>20</v>
      </c>
      <c r="D124">
        <v>5</v>
      </c>
      <c r="E124" s="2">
        <v>2489</v>
      </c>
      <c r="F124">
        <v>16</v>
      </c>
      <c r="G124">
        <f>Table1[[#This Row],[Children apprehended and placed in CBP custody*]]-Table1[[#This Row],[Children discharged from HHS Care]]</f>
        <v>-11</v>
      </c>
    </row>
    <row r="125" spans="1:7" x14ac:dyDescent="0.25">
      <c r="A125" s="1">
        <v>45831</v>
      </c>
      <c r="B125">
        <v>3</v>
      </c>
      <c r="C125">
        <v>15</v>
      </c>
      <c r="D125">
        <v>5</v>
      </c>
      <c r="E125" s="2">
        <v>2495</v>
      </c>
      <c r="F125">
        <v>17</v>
      </c>
      <c r="G125">
        <f>Table1[[#This Row],[Children apprehended and placed in CBP custody*]]-Table1[[#This Row],[Children discharged from HHS Care]]</f>
        <v>-14</v>
      </c>
    </row>
    <row r="126" spans="1:7" x14ac:dyDescent="0.25">
      <c r="A126" s="1">
        <v>45830</v>
      </c>
      <c r="B126">
        <v>7</v>
      </c>
      <c r="C126">
        <v>13</v>
      </c>
      <c r="D126">
        <v>5</v>
      </c>
      <c r="E126" s="2">
        <v>2508</v>
      </c>
      <c r="F126">
        <v>7</v>
      </c>
      <c r="G126">
        <f>Table1[[#This Row],[Children apprehended and placed in CBP custody*]]-Table1[[#This Row],[Children discharged from HHS Care]]</f>
        <v>0</v>
      </c>
    </row>
    <row r="127" spans="1:7" x14ac:dyDescent="0.25">
      <c r="A127" s="1">
        <v>45827</v>
      </c>
      <c r="B127">
        <v>8</v>
      </c>
      <c r="C127">
        <v>19</v>
      </c>
      <c r="D127">
        <v>7</v>
      </c>
      <c r="E127" s="2">
        <v>2501</v>
      </c>
      <c r="F127">
        <v>18</v>
      </c>
      <c r="G127">
        <f>Table1[[#This Row],[Children apprehended and placed in CBP custody*]]-Table1[[#This Row],[Children discharged from HHS Care]]</f>
        <v>-10</v>
      </c>
    </row>
    <row r="128" spans="1:7" x14ac:dyDescent="0.25">
      <c r="A128" s="1">
        <v>45825</v>
      </c>
      <c r="B128">
        <v>7</v>
      </c>
      <c r="C128">
        <v>24</v>
      </c>
      <c r="D128">
        <v>10</v>
      </c>
      <c r="E128" s="2">
        <v>2523</v>
      </c>
      <c r="F128">
        <v>14</v>
      </c>
      <c r="G128">
        <f>Table1[[#This Row],[Children apprehended and placed in CBP custody*]]-Table1[[#This Row],[Children discharged from HHS Care]]</f>
        <v>-7</v>
      </c>
    </row>
    <row r="129" spans="1:7" x14ac:dyDescent="0.25">
      <c r="A129" s="1">
        <v>45818</v>
      </c>
      <c r="B129">
        <v>17</v>
      </c>
      <c r="C129">
        <v>28</v>
      </c>
      <c r="D129">
        <v>7</v>
      </c>
      <c r="E129" s="2">
        <v>2511</v>
      </c>
      <c r="F129">
        <v>12</v>
      </c>
      <c r="G129">
        <f>Table1[[#This Row],[Children apprehended and placed in CBP custody*]]-Table1[[#This Row],[Children discharged from HHS Care]]</f>
        <v>5</v>
      </c>
    </row>
    <row r="130" spans="1:7" x14ac:dyDescent="0.25">
      <c r="A130" s="1">
        <v>45817</v>
      </c>
      <c r="B130">
        <v>8</v>
      </c>
      <c r="C130">
        <v>21</v>
      </c>
      <c r="D130">
        <v>14</v>
      </c>
      <c r="E130" s="2">
        <v>2516</v>
      </c>
      <c r="F130">
        <v>9</v>
      </c>
      <c r="G130">
        <f>Table1[[#This Row],[Children apprehended and placed in CBP custody*]]-Table1[[#This Row],[Children discharged from HHS Care]]</f>
        <v>-1</v>
      </c>
    </row>
    <row r="131" spans="1:7" x14ac:dyDescent="0.25">
      <c r="A131" s="1">
        <v>45816</v>
      </c>
      <c r="B131">
        <v>10</v>
      </c>
      <c r="C131">
        <v>16</v>
      </c>
      <c r="D131">
        <v>15</v>
      </c>
      <c r="E131" s="2">
        <v>2507</v>
      </c>
      <c r="F131">
        <v>13</v>
      </c>
      <c r="G131">
        <f>Table1[[#This Row],[Children apprehended and placed in CBP custody*]]-Table1[[#This Row],[Children discharged from HHS Care]]</f>
        <v>-3</v>
      </c>
    </row>
    <row r="132" spans="1:7" x14ac:dyDescent="0.25">
      <c r="A132" s="1">
        <v>45813</v>
      </c>
      <c r="B132">
        <v>8</v>
      </c>
      <c r="C132">
        <v>26</v>
      </c>
      <c r="D132">
        <v>5</v>
      </c>
      <c r="E132" s="2">
        <v>2503</v>
      </c>
      <c r="F132">
        <v>21</v>
      </c>
      <c r="G132">
        <f>Table1[[#This Row],[Children apprehended and placed in CBP custody*]]-Table1[[#This Row],[Children discharged from HHS Care]]</f>
        <v>-13</v>
      </c>
    </row>
    <row r="133" spans="1:7" x14ac:dyDescent="0.25">
      <c r="A133" s="1">
        <v>45812</v>
      </c>
      <c r="B133">
        <v>4</v>
      </c>
      <c r="C133">
        <v>16</v>
      </c>
      <c r="D133">
        <v>9</v>
      </c>
      <c r="E133" s="2">
        <v>2516</v>
      </c>
      <c r="F133">
        <v>16</v>
      </c>
      <c r="G133">
        <f>Table1[[#This Row],[Children apprehended and placed in CBP custody*]]-Table1[[#This Row],[Children discharged from HHS Care]]</f>
        <v>-12</v>
      </c>
    </row>
    <row r="134" spans="1:7" x14ac:dyDescent="0.25">
      <c r="A134" s="1">
        <v>45811</v>
      </c>
      <c r="B134">
        <v>5</v>
      </c>
      <c r="C134">
        <v>23</v>
      </c>
      <c r="D134">
        <v>11</v>
      </c>
      <c r="E134" s="2">
        <v>2519</v>
      </c>
      <c r="F134">
        <v>15</v>
      </c>
      <c r="G134">
        <f>Table1[[#This Row],[Children apprehended and placed in CBP custody*]]-Table1[[#This Row],[Children discharged from HHS Care]]</f>
        <v>-10</v>
      </c>
    </row>
    <row r="135" spans="1:7" x14ac:dyDescent="0.25">
      <c r="A135" s="1">
        <v>45810</v>
      </c>
      <c r="B135">
        <v>10</v>
      </c>
      <c r="C135">
        <v>19</v>
      </c>
      <c r="D135">
        <v>5</v>
      </c>
      <c r="E135" s="2">
        <v>2518</v>
      </c>
      <c r="F135">
        <v>16</v>
      </c>
      <c r="G135">
        <f>Table1[[#This Row],[Children apprehended and placed in CBP custody*]]-Table1[[#This Row],[Children discharged from HHS Care]]</f>
        <v>-6</v>
      </c>
    </row>
    <row r="136" spans="1:7" x14ac:dyDescent="0.25">
      <c r="A136" s="1">
        <v>45809</v>
      </c>
      <c r="B136">
        <v>8</v>
      </c>
      <c r="C136">
        <v>24</v>
      </c>
      <c r="D136">
        <v>16</v>
      </c>
      <c r="E136" s="2">
        <v>2528</v>
      </c>
      <c r="F136">
        <v>12</v>
      </c>
      <c r="G136">
        <f>Table1[[#This Row],[Children apprehended and placed in CBP custody*]]-Table1[[#This Row],[Children discharged from HHS Care]]</f>
        <v>-4</v>
      </c>
    </row>
    <row r="137" spans="1:7" x14ac:dyDescent="0.25">
      <c r="A137" s="1">
        <v>45806</v>
      </c>
      <c r="B137">
        <v>13</v>
      </c>
      <c r="C137">
        <v>38</v>
      </c>
      <c r="D137">
        <v>15</v>
      </c>
      <c r="E137" s="2">
        <v>2506</v>
      </c>
      <c r="F137">
        <v>11</v>
      </c>
      <c r="G137">
        <f>Table1[[#This Row],[Children apprehended and placed in CBP custody*]]-Table1[[#This Row],[Children discharged from HHS Care]]</f>
        <v>2</v>
      </c>
    </row>
    <row r="138" spans="1:7" x14ac:dyDescent="0.25">
      <c r="A138" s="1">
        <v>45805</v>
      </c>
      <c r="B138">
        <v>12</v>
      </c>
      <c r="C138">
        <v>39</v>
      </c>
      <c r="D138">
        <v>12</v>
      </c>
      <c r="E138" s="2">
        <v>2499</v>
      </c>
      <c r="F138">
        <v>14</v>
      </c>
      <c r="G138">
        <f>Table1[[#This Row],[Children apprehended and placed in CBP custody*]]-Table1[[#This Row],[Children discharged from HHS Care]]</f>
        <v>-2</v>
      </c>
    </row>
    <row r="139" spans="1:7" x14ac:dyDescent="0.25">
      <c r="A139" s="1">
        <v>45804</v>
      </c>
      <c r="B139">
        <v>6</v>
      </c>
      <c r="C139">
        <v>24</v>
      </c>
      <c r="D139">
        <v>7</v>
      </c>
      <c r="E139" s="2">
        <v>2504</v>
      </c>
      <c r="F139">
        <v>11</v>
      </c>
      <c r="G139">
        <f>Table1[[#This Row],[Children apprehended and placed in CBP custody*]]-Table1[[#This Row],[Children discharged from HHS Care]]</f>
        <v>-5</v>
      </c>
    </row>
    <row r="140" spans="1:7" x14ac:dyDescent="0.25">
      <c r="A140" s="1">
        <v>45799</v>
      </c>
      <c r="B140">
        <v>18</v>
      </c>
      <c r="C140">
        <v>36</v>
      </c>
      <c r="D140">
        <v>17</v>
      </c>
      <c r="E140" s="2">
        <v>2473</v>
      </c>
      <c r="F140">
        <v>15</v>
      </c>
      <c r="G140">
        <f>Table1[[#This Row],[Children apprehended and placed in CBP custody*]]-Table1[[#This Row],[Children discharged from HHS Care]]</f>
        <v>3</v>
      </c>
    </row>
    <row r="141" spans="1:7" x14ac:dyDescent="0.25">
      <c r="A141" s="1">
        <v>45798</v>
      </c>
      <c r="B141">
        <v>14</v>
      </c>
      <c r="C141">
        <v>62</v>
      </c>
      <c r="D141">
        <v>13</v>
      </c>
      <c r="E141" s="2">
        <v>2467</v>
      </c>
      <c r="F141">
        <v>18</v>
      </c>
      <c r="G141">
        <f>Table1[[#This Row],[Children apprehended and placed in CBP custody*]]-Table1[[#This Row],[Children discharged from HHS Care]]</f>
        <v>-4</v>
      </c>
    </row>
    <row r="142" spans="1:7" x14ac:dyDescent="0.25">
      <c r="A142" s="1">
        <v>45796</v>
      </c>
      <c r="B142">
        <v>7</v>
      </c>
      <c r="C142">
        <v>27</v>
      </c>
      <c r="D142">
        <v>17</v>
      </c>
      <c r="E142" s="2">
        <v>2457</v>
      </c>
      <c r="F142">
        <v>6</v>
      </c>
      <c r="G142">
        <f>Table1[[#This Row],[Children apprehended and placed in CBP custody*]]-Table1[[#This Row],[Children discharged from HHS Care]]</f>
        <v>1</v>
      </c>
    </row>
    <row r="143" spans="1:7" x14ac:dyDescent="0.25">
      <c r="A143" s="1">
        <v>45795</v>
      </c>
      <c r="B143">
        <v>13</v>
      </c>
      <c r="C143">
        <v>28</v>
      </c>
      <c r="D143">
        <v>14</v>
      </c>
      <c r="E143" s="2">
        <v>2437</v>
      </c>
      <c r="F143">
        <v>9</v>
      </c>
      <c r="G143">
        <f>Table1[[#This Row],[Children apprehended and placed in CBP custody*]]-Table1[[#This Row],[Children discharged from HHS Care]]</f>
        <v>4</v>
      </c>
    </row>
    <row r="144" spans="1:7" x14ac:dyDescent="0.25">
      <c r="A144" s="1">
        <v>45792</v>
      </c>
      <c r="B144">
        <v>15</v>
      </c>
      <c r="C144">
        <v>31</v>
      </c>
      <c r="D144">
        <v>14</v>
      </c>
      <c r="E144" s="2">
        <v>2410</v>
      </c>
      <c r="F144">
        <v>14</v>
      </c>
      <c r="G144">
        <f>Table1[[#This Row],[Children apprehended and placed in CBP custody*]]-Table1[[#This Row],[Children discharged from HHS Care]]</f>
        <v>1</v>
      </c>
    </row>
    <row r="145" spans="1:7" x14ac:dyDescent="0.25">
      <c r="A145" s="1">
        <v>45791</v>
      </c>
      <c r="B145">
        <v>7</v>
      </c>
      <c r="C145">
        <v>30</v>
      </c>
      <c r="D145">
        <v>14</v>
      </c>
      <c r="E145" s="2">
        <v>2394</v>
      </c>
      <c r="F145">
        <v>11</v>
      </c>
      <c r="G145">
        <f>Table1[[#This Row],[Children apprehended and placed in CBP custody*]]-Table1[[#This Row],[Children discharged from HHS Care]]</f>
        <v>-4</v>
      </c>
    </row>
    <row r="146" spans="1:7" x14ac:dyDescent="0.25">
      <c r="A146" s="1">
        <v>45790</v>
      </c>
      <c r="B146">
        <v>18</v>
      </c>
      <c r="C146">
        <v>29</v>
      </c>
      <c r="D146">
        <v>12</v>
      </c>
      <c r="E146" s="2">
        <v>2394</v>
      </c>
      <c r="F146">
        <v>11</v>
      </c>
      <c r="G146">
        <f>Table1[[#This Row],[Children apprehended and placed in CBP custody*]]-Table1[[#This Row],[Children discharged from HHS Care]]</f>
        <v>7</v>
      </c>
    </row>
    <row r="147" spans="1:7" x14ac:dyDescent="0.25">
      <c r="A147" s="1">
        <v>45789</v>
      </c>
      <c r="B147">
        <v>7</v>
      </c>
      <c r="C147">
        <v>33</v>
      </c>
      <c r="D147">
        <v>14</v>
      </c>
      <c r="E147" s="2">
        <v>2392</v>
      </c>
      <c r="F147">
        <v>7</v>
      </c>
      <c r="G147">
        <f>Table1[[#This Row],[Children apprehended and placed in CBP custody*]]-Table1[[#This Row],[Children discharged from HHS Care]]</f>
        <v>0</v>
      </c>
    </row>
    <row r="148" spans="1:7" x14ac:dyDescent="0.25">
      <c r="A148" s="1">
        <v>45788</v>
      </c>
      <c r="B148">
        <v>15</v>
      </c>
      <c r="C148">
        <v>20</v>
      </c>
      <c r="D148">
        <v>12</v>
      </c>
      <c r="E148" s="2">
        <v>2385</v>
      </c>
      <c r="F148">
        <v>3</v>
      </c>
      <c r="G148">
        <f>Table1[[#This Row],[Children apprehended and placed in CBP custody*]]-Table1[[#This Row],[Children discharged from HHS Care]]</f>
        <v>12</v>
      </c>
    </row>
    <row r="149" spans="1:7" x14ac:dyDescent="0.25">
      <c r="A149" s="1">
        <v>45785</v>
      </c>
      <c r="B149">
        <v>15</v>
      </c>
      <c r="C149">
        <v>24</v>
      </c>
      <c r="D149">
        <v>16</v>
      </c>
      <c r="E149" s="2">
        <v>2361</v>
      </c>
      <c r="F149">
        <v>11</v>
      </c>
      <c r="G149">
        <f>Table1[[#This Row],[Children apprehended and placed in CBP custody*]]-Table1[[#This Row],[Children discharged from HHS Care]]</f>
        <v>4</v>
      </c>
    </row>
    <row r="150" spans="1:7" x14ac:dyDescent="0.25">
      <c r="A150" s="1">
        <v>45784</v>
      </c>
      <c r="B150">
        <v>10</v>
      </c>
      <c r="C150">
        <v>30</v>
      </c>
      <c r="D150">
        <v>15</v>
      </c>
      <c r="E150" s="2">
        <v>2335</v>
      </c>
      <c r="F150">
        <v>10</v>
      </c>
      <c r="G150">
        <f>Table1[[#This Row],[Children apprehended and placed in CBP custody*]]-Table1[[#This Row],[Children discharged from HHS Care]]</f>
        <v>0</v>
      </c>
    </row>
    <row r="151" spans="1:7" x14ac:dyDescent="0.25">
      <c r="A151" s="1">
        <v>45783</v>
      </c>
      <c r="B151">
        <v>10</v>
      </c>
      <c r="C151">
        <v>33</v>
      </c>
      <c r="D151">
        <v>16</v>
      </c>
      <c r="E151" s="2">
        <v>2339</v>
      </c>
      <c r="F151">
        <v>16</v>
      </c>
      <c r="G151">
        <f>Table1[[#This Row],[Children apprehended and placed in CBP custody*]]-Table1[[#This Row],[Children discharged from HHS Care]]</f>
        <v>-6</v>
      </c>
    </row>
    <row r="152" spans="1:7" x14ac:dyDescent="0.25">
      <c r="A152" s="1">
        <v>45782</v>
      </c>
      <c r="B152">
        <v>15</v>
      </c>
      <c r="C152">
        <v>44</v>
      </c>
      <c r="D152">
        <v>20</v>
      </c>
      <c r="E152" s="2">
        <v>2331</v>
      </c>
      <c r="F152">
        <v>17</v>
      </c>
      <c r="G152">
        <f>Table1[[#This Row],[Children apprehended and placed in CBP custody*]]-Table1[[#This Row],[Children discharged from HHS Care]]</f>
        <v>-2</v>
      </c>
    </row>
    <row r="153" spans="1:7" x14ac:dyDescent="0.25">
      <c r="A153" s="1">
        <v>45781</v>
      </c>
      <c r="B153">
        <v>9</v>
      </c>
      <c r="C153">
        <v>31</v>
      </c>
      <c r="D153">
        <v>10</v>
      </c>
      <c r="E153" s="2">
        <v>2335</v>
      </c>
      <c r="F153">
        <v>5</v>
      </c>
      <c r="G153">
        <f>Table1[[#This Row],[Children apprehended and placed in CBP custody*]]-Table1[[#This Row],[Children discharged from HHS Care]]</f>
        <v>4</v>
      </c>
    </row>
    <row r="154" spans="1:7" x14ac:dyDescent="0.25">
      <c r="A154" s="1">
        <v>45778</v>
      </c>
      <c r="B154">
        <v>13</v>
      </c>
      <c r="C154">
        <v>32</v>
      </c>
      <c r="D154">
        <v>14</v>
      </c>
      <c r="E154" s="2">
        <v>2306</v>
      </c>
      <c r="F154">
        <v>16</v>
      </c>
      <c r="G154">
        <f>Table1[[#This Row],[Children apprehended and placed in CBP custody*]]-Table1[[#This Row],[Children discharged from HHS Care]]</f>
        <v>-3</v>
      </c>
    </row>
    <row r="155" spans="1:7" x14ac:dyDescent="0.25">
      <c r="A155" s="1">
        <v>45777</v>
      </c>
      <c r="B155">
        <v>7</v>
      </c>
      <c r="C155">
        <v>34</v>
      </c>
      <c r="D155">
        <v>9</v>
      </c>
      <c r="E155" s="2">
        <v>2309</v>
      </c>
      <c r="F155">
        <v>12</v>
      </c>
      <c r="G155">
        <f>Table1[[#This Row],[Children apprehended and placed in CBP custody*]]-Table1[[#This Row],[Children discharged from HHS Care]]</f>
        <v>-5</v>
      </c>
    </row>
    <row r="156" spans="1:7" x14ac:dyDescent="0.25">
      <c r="A156" s="1">
        <v>45776</v>
      </c>
      <c r="B156">
        <v>11</v>
      </c>
      <c r="C156">
        <v>25</v>
      </c>
      <c r="D156">
        <v>11</v>
      </c>
      <c r="E156" s="2">
        <v>2304</v>
      </c>
      <c r="F156">
        <v>15</v>
      </c>
      <c r="G156">
        <f>Table1[[#This Row],[Children apprehended and placed in CBP custody*]]-Table1[[#This Row],[Children discharged from HHS Care]]</f>
        <v>-4</v>
      </c>
    </row>
    <row r="157" spans="1:7" x14ac:dyDescent="0.25">
      <c r="A157" s="1">
        <v>45775</v>
      </c>
      <c r="B157">
        <v>6</v>
      </c>
      <c r="C157">
        <v>26</v>
      </c>
      <c r="D157">
        <v>12</v>
      </c>
      <c r="E157" s="2">
        <v>2307</v>
      </c>
      <c r="F157">
        <v>8</v>
      </c>
      <c r="G157">
        <f>Table1[[#This Row],[Children apprehended and placed in CBP custody*]]-Table1[[#This Row],[Children discharged from HHS Care]]</f>
        <v>-2</v>
      </c>
    </row>
    <row r="158" spans="1:7" x14ac:dyDescent="0.25">
      <c r="A158" s="1">
        <v>45774</v>
      </c>
      <c r="B158">
        <v>9</v>
      </c>
      <c r="C158">
        <v>40</v>
      </c>
      <c r="D158">
        <v>12</v>
      </c>
      <c r="E158" s="2">
        <v>2301</v>
      </c>
      <c r="F158">
        <v>4</v>
      </c>
      <c r="G158">
        <f>Table1[[#This Row],[Children apprehended and placed in CBP custody*]]-Table1[[#This Row],[Children discharged from HHS Care]]</f>
        <v>5</v>
      </c>
    </row>
    <row r="159" spans="1:7" x14ac:dyDescent="0.25">
      <c r="A159" s="1">
        <v>45771</v>
      </c>
      <c r="B159">
        <v>3</v>
      </c>
      <c r="C159">
        <v>9</v>
      </c>
      <c r="D159">
        <v>7</v>
      </c>
      <c r="E159" s="2">
        <v>2294</v>
      </c>
      <c r="F159">
        <v>13</v>
      </c>
      <c r="G159">
        <f>Table1[[#This Row],[Children apprehended and placed in CBP custody*]]-Table1[[#This Row],[Children discharged from HHS Care]]</f>
        <v>-10</v>
      </c>
    </row>
    <row r="160" spans="1:7" x14ac:dyDescent="0.25">
      <c r="A160" s="1">
        <v>45770</v>
      </c>
      <c r="B160">
        <v>3</v>
      </c>
      <c r="C160">
        <v>23</v>
      </c>
      <c r="D160">
        <v>4</v>
      </c>
      <c r="E160" s="2">
        <v>2300</v>
      </c>
      <c r="F160">
        <v>11</v>
      </c>
      <c r="G160">
        <f>Table1[[#This Row],[Children apprehended and placed in CBP custody*]]-Table1[[#This Row],[Children discharged from HHS Care]]</f>
        <v>-8</v>
      </c>
    </row>
    <row r="161" spans="1:7" x14ac:dyDescent="0.25">
      <c r="A161" s="1">
        <v>45769</v>
      </c>
      <c r="B161">
        <v>7</v>
      </c>
      <c r="C161">
        <v>19</v>
      </c>
      <c r="D161">
        <v>14</v>
      </c>
      <c r="E161" s="2">
        <v>2305</v>
      </c>
      <c r="F161">
        <v>17</v>
      </c>
      <c r="G161">
        <f>Table1[[#This Row],[Children apprehended and placed in CBP custody*]]-Table1[[#This Row],[Children discharged from HHS Care]]</f>
        <v>-10</v>
      </c>
    </row>
    <row r="162" spans="1:7" x14ac:dyDescent="0.25">
      <c r="A162" s="1">
        <v>45768</v>
      </c>
      <c r="B162">
        <v>10</v>
      </c>
      <c r="C162">
        <v>25</v>
      </c>
      <c r="D162">
        <v>5</v>
      </c>
      <c r="E162" s="2">
        <v>2308</v>
      </c>
      <c r="F162">
        <v>6</v>
      </c>
      <c r="G162">
        <f>Table1[[#This Row],[Children apprehended and placed in CBP custody*]]-Table1[[#This Row],[Children discharged from HHS Care]]</f>
        <v>4</v>
      </c>
    </row>
    <row r="163" spans="1:7" x14ac:dyDescent="0.25">
      <c r="A163" s="1">
        <v>45767</v>
      </c>
      <c r="B163">
        <v>4</v>
      </c>
      <c r="C163">
        <v>15</v>
      </c>
      <c r="D163">
        <v>6</v>
      </c>
      <c r="E163" s="2">
        <v>2305</v>
      </c>
      <c r="F163">
        <v>4</v>
      </c>
      <c r="G163">
        <f>Table1[[#This Row],[Children apprehended and placed in CBP custody*]]-Table1[[#This Row],[Children discharged from HHS Care]]</f>
        <v>0</v>
      </c>
    </row>
    <row r="164" spans="1:7" x14ac:dyDescent="0.25">
      <c r="A164" s="1">
        <v>45764</v>
      </c>
      <c r="B164">
        <v>7</v>
      </c>
      <c r="C164">
        <v>26</v>
      </c>
      <c r="D164">
        <v>10</v>
      </c>
      <c r="E164" s="2">
        <v>2288</v>
      </c>
      <c r="F164">
        <v>14</v>
      </c>
      <c r="G164">
        <f>Table1[[#This Row],[Children apprehended and placed in CBP custody*]]-Table1[[#This Row],[Children discharged from HHS Care]]</f>
        <v>-7</v>
      </c>
    </row>
    <row r="165" spans="1:7" x14ac:dyDescent="0.25">
      <c r="A165" s="1">
        <v>45763</v>
      </c>
      <c r="B165">
        <v>11</v>
      </c>
      <c r="C165">
        <v>30</v>
      </c>
      <c r="D165">
        <v>5</v>
      </c>
      <c r="E165" s="2">
        <v>2291</v>
      </c>
      <c r="F165">
        <v>8</v>
      </c>
      <c r="G165">
        <f>Table1[[#This Row],[Children apprehended and placed in CBP custody*]]-Table1[[#This Row],[Children discharged from HHS Care]]</f>
        <v>3</v>
      </c>
    </row>
    <row r="166" spans="1:7" x14ac:dyDescent="0.25">
      <c r="A166" s="1">
        <v>45762</v>
      </c>
      <c r="B166">
        <v>4</v>
      </c>
      <c r="C166">
        <v>19</v>
      </c>
      <c r="D166">
        <v>12</v>
      </c>
      <c r="E166" s="2">
        <v>2286</v>
      </c>
      <c r="F166">
        <v>7</v>
      </c>
      <c r="G166">
        <f>Table1[[#This Row],[Children apprehended and placed in CBP custody*]]-Table1[[#This Row],[Children discharged from HHS Care]]</f>
        <v>-3</v>
      </c>
    </row>
    <row r="167" spans="1:7" x14ac:dyDescent="0.25">
      <c r="A167" s="1">
        <v>45761</v>
      </c>
      <c r="B167">
        <v>5</v>
      </c>
      <c r="C167">
        <v>26</v>
      </c>
      <c r="D167">
        <v>9</v>
      </c>
      <c r="E167" s="2">
        <v>2282</v>
      </c>
      <c r="F167">
        <v>13</v>
      </c>
      <c r="G167">
        <f>Table1[[#This Row],[Children apprehended and placed in CBP custody*]]-Table1[[#This Row],[Children discharged from HHS Care]]</f>
        <v>-8</v>
      </c>
    </row>
    <row r="168" spans="1:7" x14ac:dyDescent="0.25">
      <c r="A168" s="1">
        <v>45760</v>
      </c>
      <c r="B168">
        <v>5</v>
      </c>
      <c r="C168">
        <v>26</v>
      </c>
      <c r="D168">
        <v>10</v>
      </c>
      <c r="E168" s="2">
        <v>2283</v>
      </c>
      <c r="F168">
        <v>3</v>
      </c>
      <c r="G168">
        <f>Table1[[#This Row],[Children apprehended and placed in CBP custody*]]-Table1[[#This Row],[Children discharged from HHS Care]]</f>
        <v>2</v>
      </c>
    </row>
    <row r="169" spans="1:7" x14ac:dyDescent="0.25">
      <c r="A169" s="1">
        <v>45758</v>
      </c>
      <c r="B169">
        <v>8</v>
      </c>
      <c r="C169">
        <v>22</v>
      </c>
      <c r="D169">
        <v>8</v>
      </c>
      <c r="E169" s="2">
        <v>2267</v>
      </c>
      <c r="F169">
        <v>9</v>
      </c>
      <c r="G169">
        <f>Table1[[#This Row],[Children apprehended and placed in CBP custody*]]-Table1[[#This Row],[Children discharged from HHS Care]]</f>
        <v>-1</v>
      </c>
    </row>
    <row r="170" spans="1:7" x14ac:dyDescent="0.25">
      <c r="A170" s="1">
        <v>45757</v>
      </c>
      <c r="B170">
        <v>18</v>
      </c>
      <c r="C170">
        <v>25</v>
      </c>
      <c r="D170">
        <v>17</v>
      </c>
      <c r="E170" s="2">
        <v>2265</v>
      </c>
      <c r="F170">
        <v>6</v>
      </c>
      <c r="G170">
        <f>Table1[[#This Row],[Children apprehended and placed in CBP custody*]]-Table1[[#This Row],[Children discharged from HHS Care]]</f>
        <v>12</v>
      </c>
    </row>
    <row r="171" spans="1:7" x14ac:dyDescent="0.25">
      <c r="A171" s="1">
        <v>45756</v>
      </c>
      <c r="B171">
        <v>6</v>
      </c>
      <c r="C171">
        <v>19</v>
      </c>
      <c r="D171">
        <v>10</v>
      </c>
      <c r="E171" s="2">
        <v>2251</v>
      </c>
      <c r="F171">
        <v>5</v>
      </c>
      <c r="G171">
        <f>Table1[[#This Row],[Children apprehended and placed in CBP custody*]]-Table1[[#This Row],[Children discharged from HHS Care]]</f>
        <v>1</v>
      </c>
    </row>
    <row r="172" spans="1:7" x14ac:dyDescent="0.25">
      <c r="A172" s="1">
        <v>45755</v>
      </c>
      <c r="B172">
        <v>12</v>
      </c>
      <c r="C172">
        <v>34</v>
      </c>
      <c r="D172">
        <v>12</v>
      </c>
      <c r="E172" s="2">
        <v>2243</v>
      </c>
      <c r="F172">
        <v>9</v>
      </c>
      <c r="G172">
        <f>Table1[[#This Row],[Children apprehended and placed in CBP custody*]]-Table1[[#This Row],[Children discharged from HHS Care]]</f>
        <v>3</v>
      </c>
    </row>
    <row r="173" spans="1:7" x14ac:dyDescent="0.25">
      <c r="A173" s="1">
        <v>45754</v>
      </c>
      <c r="B173">
        <v>12</v>
      </c>
      <c r="C173">
        <v>22</v>
      </c>
      <c r="D173">
        <v>9</v>
      </c>
      <c r="E173" s="2">
        <v>2237</v>
      </c>
      <c r="F173">
        <v>5</v>
      </c>
      <c r="G173">
        <f>Table1[[#This Row],[Children apprehended and placed in CBP custody*]]-Table1[[#This Row],[Children discharged from HHS Care]]</f>
        <v>7</v>
      </c>
    </row>
    <row r="174" spans="1:7" x14ac:dyDescent="0.25">
      <c r="A174" s="1">
        <v>45753</v>
      </c>
      <c r="B174">
        <v>7</v>
      </c>
      <c r="C174">
        <v>14</v>
      </c>
      <c r="D174">
        <v>7</v>
      </c>
      <c r="E174" s="2">
        <v>2234</v>
      </c>
      <c r="F174">
        <v>11</v>
      </c>
      <c r="G174">
        <f>Table1[[#This Row],[Children apprehended and placed in CBP custody*]]-Table1[[#This Row],[Children discharged from HHS Care]]</f>
        <v>-4</v>
      </c>
    </row>
    <row r="175" spans="1:7" x14ac:dyDescent="0.25">
      <c r="A175" s="1">
        <v>45750</v>
      </c>
      <c r="B175">
        <v>12</v>
      </c>
      <c r="C175">
        <v>26</v>
      </c>
      <c r="D175">
        <v>18</v>
      </c>
      <c r="E175" s="2">
        <v>2223</v>
      </c>
      <c r="F175">
        <v>8</v>
      </c>
      <c r="G175">
        <f>Table1[[#This Row],[Children apprehended and placed in CBP custody*]]-Table1[[#This Row],[Children discharged from HHS Care]]</f>
        <v>4</v>
      </c>
    </row>
    <row r="176" spans="1:7" x14ac:dyDescent="0.25">
      <c r="A176" s="1">
        <v>45749</v>
      </c>
      <c r="B176">
        <v>5</v>
      </c>
      <c r="C176">
        <v>31</v>
      </c>
      <c r="D176">
        <v>16</v>
      </c>
      <c r="E176" s="2">
        <v>2208</v>
      </c>
      <c r="F176">
        <v>3</v>
      </c>
      <c r="G176">
        <f>Table1[[#This Row],[Children apprehended and placed in CBP custody*]]-Table1[[#This Row],[Children discharged from HHS Care]]</f>
        <v>2</v>
      </c>
    </row>
    <row r="177" spans="1:7" x14ac:dyDescent="0.25">
      <c r="A177" s="1">
        <v>45748</v>
      </c>
      <c r="B177">
        <v>17</v>
      </c>
      <c r="C177">
        <v>36</v>
      </c>
      <c r="D177">
        <v>7</v>
      </c>
      <c r="E177" s="2">
        <v>2191</v>
      </c>
      <c r="F177">
        <v>12</v>
      </c>
      <c r="G177">
        <f>Table1[[#This Row],[Children apprehended and placed in CBP custody*]]-Table1[[#This Row],[Children discharged from HHS Care]]</f>
        <v>5</v>
      </c>
    </row>
    <row r="178" spans="1:7" x14ac:dyDescent="0.25">
      <c r="A178" s="1">
        <v>45747</v>
      </c>
      <c r="B178">
        <v>9</v>
      </c>
      <c r="C178">
        <v>25</v>
      </c>
      <c r="D178">
        <v>8</v>
      </c>
      <c r="E178" s="2">
        <v>2193</v>
      </c>
      <c r="F178">
        <v>5</v>
      </c>
      <c r="G178">
        <f>Table1[[#This Row],[Children apprehended and placed in CBP custody*]]-Table1[[#This Row],[Children discharged from HHS Care]]</f>
        <v>4</v>
      </c>
    </row>
    <row r="179" spans="1:7" x14ac:dyDescent="0.25">
      <c r="A179" s="1">
        <v>45746</v>
      </c>
      <c r="B179">
        <v>9</v>
      </c>
      <c r="C179">
        <v>20</v>
      </c>
      <c r="D179">
        <v>5</v>
      </c>
      <c r="E179" s="2">
        <v>2188</v>
      </c>
      <c r="F179">
        <v>2</v>
      </c>
      <c r="G179">
        <f>Table1[[#This Row],[Children apprehended and placed in CBP custody*]]-Table1[[#This Row],[Children discharged from HHS Care]]</f>
        <v>7</v>
      </c>
    </row>
    <row r="180" spans="1:7" x14ac:dyDescent="0.25">
      <c r="A180" s="1">
        <v>45743</v>
      </c>
      <c r="B180">
        <v>1</v>
      </c>
      <c r="C180">
        <v>19</v>
      </c>
      <c r="D180">
        <v>13</v>
      </c>
      <c r="E180" s="2">
        <v>2159</v>
      </c>
      <c r="F180">
        <v>2</v>
      </c>
      <c r="G180">
        <f>Table1[[#This Row],[Children apprehended and placed in CBP custody*]]-Table1[[#This Row],[Children discharged from HHS Care]]</f>
        <v>-1</v>
      </c>
    </row>
    <row r="181" spans="1:7" x14ac:dyDescent="0.25">
      <c r="A181" s="1">
        <v>45742</v>
      </c>
      <c r="B181">
        <v>9</v>
      </c>
      <c r="C181">
        <v>21</v>
      </c>
      <c r="D181">
        <v>15</v>
      </c>
      <c r="E181" s="2">
        <v>2159</v>
      </c>
      <c r="F181">
        <v>2</v>
      </c>
      <c r="G181">
        <f>Table1[[#This Row],[Children apprehended and placed in CBP custody*]]-Table1[[#This Row],[Children discharged from HHS Care]]</f>
        <v>7</v>
      </c>
    </row>
    <row r="182" spans="1:7" x14ac:dyDescent="0.25">
      <c r="A182" s="1">
        <v>45741</v>
      </c>
      <c r="B182">
        <v>12</v>
      </c>
      <c r="C182">
        <v>19</v>
      </c>
      <c r="D182">
        <v>7</v>
      </c>
      <c r="E182" s="2">
        <v>2145</v>
      </c>
      <c r="F182">
        <v>6</v>
      </c>
      <c r="G182">
        <f>Table1[[#This Row],[Children apprehended and placed in CBP custody*]]-Table1[[#This Row],[Children discharged from HHS Care]]</f>
        <v>6</v>
      </c>
    </row>
    <row r="183" spans="1:7" x14ac:dyDescent="0.25">
      <c r="A183" s="1">
        <v>45740</v>
      </c>
      <c r="B183">
        <v>7</v>
      </c>
      <c r="C183">
        <v>13</v>
      </c>
      <c r="D183">
        <v>11</v>
      </c>
      <c r="E183" s="2">
        <v>2139</v>
      </c>
      <c r="F183">
        <v>7</v>
      </c>
      <c r="G183">
        <f>Table1[[#This Row],[Children apprehended and placed in CBP custody*]]-Table1[[#This Row],[Children discharged from HHS Care]]</f>
        <v>0</v>
      </c>
    </row>
    <row r="184" spans="1:7" x14ac:dyDescent="0.25">
      <c r="A184" s="1">
        <v>45739</v>
      </c>
      <c r="B184">
        <v>15</v>
      </c>
      <c r="C184">
        <v>29</v>
      </c>
      <c r="D184">
        <v>9</v>
      </c>
      <c r="E184" s="2">
        <v>2136</v>
      </c>
      <c r="F184">
        <v>2</v>
      </c>
      <c r="G184">
        <f>Table1[[#This Row],[Children apprehended and placed in CBP custody*]]-Table1[[#This Row],[Children discharged from HHS Care]]</f>
        <v>13</v>
      </c>
    </row>
    <row r="185" spans="1:7" x14ac:dyDescent="0.25">
      <c r="A185" s="1">
        <v>45736</v>
      </c>
      <c r="B185">
        <v>9</v>
      </c>
      <c r="C185">
        <v>20</v>
      </c>
      <c r="D185">
        <v>11</v>
      </c>
      <c r="E185" s="2">
        <v>2124</v>
      </c>
      <c r="F185">
        <v>7</v>
      </c>
      <c r="G185">
        <f>Table1[[#This Row],[Children apprehended and placed in CBP custody*]]-Table1[[#This Row],[Children discharged from HHS Care]]</f>
        <v>2</v>
      </c>
    </row>
    <row r="186" spans="1:7" x14ac:dyDescent="0.25">
      <c r="A186" s="1">
        <v>45735</v>
      </c>
      <c r="B186">
        <v>6</v>
      </c>
      <c r="C186">
        <v>22</v>
      </c>
      <c r="D186">
        <v>14</v>
      </c>
      <c r="E186" s="2">
        <v>2119</v>
      </c>
      <c r="F186">
        <v>9</v>
      </c>
      <c r="G186">
        <f>Table1[[#This Row],[Children apprehended and placed in CBP custody*]]-Table1[[#This Row],[Children discharged from HHS Care]]</f>
        <v>-3</v>
      </c>
    </row>
    <row r="187" spans="1:7" x14ac:dyDescent="0.25">
      <c r="A187" s="1">
        <v>45734</v>
      </c>
      <c r="B187">
        <v>19</v>
      </c>
      <c r="C187">
        <v>34</v>
      </c>
      <c r="D187">
        <v>6</v>
      </c>
      <c r="E187" s="2">
        <v>2109</v>
      </c>
      <c r="F187">
        <v>8</v>
      </c>
      <c r="G187">
        <f>Table1[[#This Row],[Children apprehended and placed in CBP custody*]]-Table1[[#This Row],[Children discharged from HHS Care]]</f>
        <v>11</v>
      </c>
    </row>
    <row r="188" spans="1:7" x14ac:dyDescent="0.25">
      <c r="A188" s="1">
        <v>45733</v>
      </c>
      <c r="B188">
        <v>5</v>
      </c>
      <c r="C188">
        <v>14</v>
      </c>
      <c r="D188">
        <v>0</v>
      </c>
      <c r="E188" s="2">
        <v>2111</v>
      </c>
      <c r="F188">
        <v>8</v>
      </c>
      <c r="G188">
        <f>Table1[[#This Row],[Children apprehended and placed in CBP custody*]]-Table1[[#This Row],[Children discharged from HHS Care]]</f>
        <v>-3</v>
      </c>
    </row>
    <row r="189" spans="1:7" x14ac:dyDescent="0.25">
      <c r="A189" s="1">
        <v>45732</v>
      </c>
      <c r="B189">
        <v>1</v>
      </c>
      <c r="C189">
        <v>9</v>
      </c>
      <c r="D189">
        <v>8</v>
      </c>
      <c r="E189" s="2">
        <v>2117</v>
      </c>
      <c r="F189">
        <v>5</v>
      </c>
      <c r="G189">
        <f>Table1[[#This Row],[Children apprehended and placed in CBP custody*]]-Table1[[#This Row],[Children discharged from HHS Care]]</f>
        <v>-4</v>
      </c>
    </row>
    <row r="190" spans="1:7" x14ac:dyDescent="0.25">
      <c r="A190" s="1">
        <v>45729</v>
      </c>
      <c r="B190">
        <v>4</v>
      </c>
      <c r="C190">
        <v>20</v>
      </c>
      <c r="D190">
        <v>9</v>
      </c>
      <c r="E190" s="2">
        <v>2116</v>
      </c>
      <c r="F190">
        <v>6</v>
      </c>
      <c r="G190">
        <f>Table1[[#This Row],[Children apprehended and placed in CBP custody*]]-Table1[[#This Row],[Children discharged from HHS Care]]</f>
        <v>-2</v>
      </c>
    </row>
    <row r="191" spans="1:7" x14ac:dyDescent="0.25">
      <c r="A191" s="1">
        <v>45728</v>
      </c>
      <c r="B191">
        <v>6</v>
      </c>
      <c r="C191">
        <v>18</v>
      </c>
      <c r="D191">
        <v>2</v>
      </c>
      <c r="E191" s="2">
        <v>2113</v>
      </c>
      <c r="F191">
        <v>8</v>
      </c>
      <c r="G191">
        <f>Table1[[#This Row],[Children apprehended and placed in CBP custody*]]-Table1[[#This Row],[Children discharged from HHS Care]]</f>
        <v>-2</v>
      </c>
    </row>
    <row r="192" spans="1:7" x14ac:dyDescent="0.25">
      <c r="A192" s="1">
        <v>45727</v>
      </c>
      <c r="B192">
        <v>3</v>
      </c>
      <c r="C192">
        <v>11</v>
      </c>
      <c r="D192">
        <v>7</v>
      </c>
      <c r="E192" s="2">
        <v>2116</v>
      </c>
      <c r="F192">
        <v>20</v>
      </c>
      <c r="G192">
        <f>Table1[[#This Row],[Children apprehended and placed in CBP custody*]]-Table1[[#This Row],[Children discharged from HHS Care]]</f>
        <v>-17</v>
      </c>
    </row>
    <row r="193" spans="1:7" x14ac:dyDescent="0.25">
      <c r="A193" s="1">
        <v>45726</v>
      </c>
      <c r="B193">
        <v>6</v>
      </c>
      <c r="C193">
        <v>28</v>
      </c>
      <c r="D193">
        <v>8</v>
      </c>
      <c r="E193" s="2">
        <v>2125</v>
      </c>
      <c r="F193">
        <v>23</v>
      </c>
      <c r="G193">
        <f>Table1[[#This Row],[Children apprehended and placed in CBP custody*]]-Table1[[#This Row],[Children discharged from HHS Care]]</f>
        <v>-17</v>
      </c>
    </row>
    <row r="194" spans="1:7" x14ac:dyDescent="0.25">
      <c r="A194" s="1">
        <v>45725</v>
      </c>
      <c r="B194">
        <v>12</v>
      </c>
      <c r="C194">
        <v>25</v>
      </c>
      <c r="D194">
        <v>15</v>
      </c>
      <c r="E194" s="2">
        <v>2137</v>
      </c>
      <c r="F194">
        <v>30</v>
      </c>
      <c r="G194">
        <f>Table1[[#This Row],[Children apprehended and placed in CBP custody*]]-Table1[[#This Row],[Children discharged from HHS Care]]</f>
        <v>-18</v>
      </c>
    </row>
    <row r="195" spans="1:7" x14ac:dyDescent="0.25">
      <c r="A195" s="1">
        <v>45722</v>
      </c>
      <c r="B195">
        <v>7</v>
      </c>
      <c r="C195">
        <v>27</v>
      </c>
      <c r="D195">
        <v>6</v>
      </c>
      <c r="E195" s="2">
        <v>2218</v>
      </c>
      <c r="F195">
        <v>33</v>
      </c>
      <c r="G195">
        <f>Table1[[#This Row],[Children apprehended and placed in CBP custody*]]-Table1[[#This Row],[Children discharged from HHS Care]]</f>
        <v>-26</v>
      </c>
    </row>
    <row r="196" spans="1:7" x14ac:dyDescent="0.25">
      <c r="A196" s="1">
        <v>45721</v>
      </c>
      <c r="B196">
        <v>5</v>
      </c>
      <c r="C196">
        <v>20</v>
      </c>
      <c r="D196">
        <v>4</v>
      </c>
      <c r="E196" s="2">
        <v>2238</v>
      </c>
      <c r="F196">
        <v>40</v>
      </c>
      <c r="G196">
        <f>Table1[[#This Row],[Children apprehended and placed in CBP custody*]]-Table1[[#This Row],[Children discharged from HHS Care]]</f>
        <v>-35</v>
      </c>
    </row>
    <row r="197" spans="1:7" x14ac:dyDescent="0.25">
      <c r="A197" s="1">
        <v>45720</v>
      </c>
      <c r="B197">
        <v>4</v>
      </c>
      <c r="C197">
        <v>25</v>
      </c>
      <c r="D197">
        <v>10</v>
      </c>
      <c r="E197" s="2">
        <v>2272</v>
      </c>
      <c r="F197">
        <v>30</v>
      </c>
      <c r="G197">
        <f>Table1[[#This Row],[Children apprehended and placed in CBP custody*]]-Table1[[#This Row],[Children discharged from HHS Care]]</f>
        <v>-26</v>
      </c>
    </row>
    <row r="198" spans="1:7" x14ac:dyDescent="0.25">
      <c r="A198" s="1">
        <v>45719</v>
      </c>
      <c r="B198">
        <v>8</v>
      </c>
      <c r="C198">
        <v>29</v>
      </c>
      <c r="D198">
        <v>18</v>
      </c>
      <c r="E198" s="2">
        <v>2287</v>
      </c>
      <c r="F198">
        <v>25</v>
      </c>
      <c r="G198">
        <f>Table1[[#This Row],[Children apprehended and placed in CBP custody*]]-Table1[[#This Row],[Children discharged from HHS Care]]</f>
        <v>-17</v>
      </c>
    </row>
    <row r="199" spans="1:7" x14ac:dyDescent="0.25">
      <c r="A199" s="1">
        <v>45718</v>
      </c>
      <c r="B199">
        <v>12</v>
      </c>
      <c r="C199">
        <v>24</v>
      </c>
      <c r="D199">
        <v>4</v>
      </c>
      <c r="E199" s="2">
        <v>2297</v>
      </c>
      <c r="F199">
        <v>31</v>
      </c>
      <c r="G199">
        <f>Table1[[#This Row],[Children apprehended and placed in CBP custody*]]-Table1[[#This Row],[Children discharged from HHS Care]]</f>
        <v>-19</v>
      </c>
    </row>
    <row r="200" spans="1:7" x14ac:dyDescent="0.25">
      <c r="A200" s="1">
        <v>45715</v>
      </c>
      <c r="B200">
        <v>10</v>
      </c>
      <c r="C200">
        <v>15</v>
      </c>
      <c r="D200">
        <v>17</v>
      </c>
      <c r="E200" s="2">
        <v>2391</v>
      </c>
      <c r="F200">
        <v>37</v>
      </c>
      <c r="G200">
        <f>Table1[[#This Row],[Children apprehended and placed in CBP custody*]]-Table1[[#This Row],[Children discharged from HHS Care]]</f>
        <v>-27</v>
      </c>
    </row>
    <row r="201" spans="1:7" x14ac:dyDescent="0.25">
      <c r="A201" s="1">
        <v>45714</v>
      </c>
      <c r="B201">
        <v>12</v>
      </c>
      <c r="C201">
        <v>21</v>
      </c>
      <c r="D201">
        <v>1</v>
      </c>
      <c r="E201" s="2">
        <v>2411</v>
      </c>
      <c r="F201">
        <v>23</v>
      </c>
      <c r="G201">
        <f>Table1[[#This Row],[Children apprehended and placed in CBP custody*]]-Table1[[#This Row],[Children discharged from HHS Care]]</f>
        <v>-11</v>
      </c>
    </row>
    <row r="202" spans="1:7" x14ac:dyDescent="0.25">
      <c r="A202" s="1">
        <v>45713</v>
      </c>
      <c r="B202">
        <v>11</v>
      </c>
      <c r="C202">
        <v>7</v>
      </c>
      <c r="D202">
        <v>7</v>
      </c>
      <c r="E202" s="2">
        <v>2413</v>
      </c>
      <c r="F202">
        <v>23</v>
      </c>
      <c r="G202">
        <f>Table1[[#This Row],[Children apprehended and placed in CBP custody*]]-Table1[[#This Row],[Children discharged from HHS Care]]</f>
        <v>-12</v>
      </c>
    </row>
    <row r="203" spans="1:7" x14ac:dyDescent="0.25">
      <c r="A203" s="1">
        <v>45712</v>
      </c>
      <c r="B203">
        <v>20</v>
      </c>
      <c r="C203">
        <v>22</v>
      </c>
      <c r="D203">
        <v>14</v>
      </c>
      <c r="E203" s="2">
        <v>2413</v>
      </c>
      <c r="F203">
        <v>24</v>
      </c>
      <c r="G203">
        <f>Table1[[#This Row],[Children apprehended and placed in CBP custody*]]-Table1[[#This Row],[Children discharged from HHS Care]]</f>
        <v>-4</v>
      </c>
    </row>
    <row r="204" spans="1:7" x14ac:dyDescent="0.25">
      <c r="A204" s="1">
        <v>45711</v>
      </c>
      <c r="B204">
        <v>7</v>
      </c>
      <c r="C204">
        <v>16</v>
      </c>
      <c r="D204">
        <v>8</v>
      </c>
      <c r="E204" s="2">
        <v>2423</v>
      </c>
      <c r="F204">
        <v>35</v>
      </c>
      <c r="G204">
        <f>Table1[[#This Row],[Children apprehended and placed in CBP custody*]]-Table1[[#This Row],[Children discharged from HHS Care]]</f>
        <v>-28</v>
      </c>
    </row>
    <row r="205" spans="1:7" x14ac:dyDescent="0.25">
      <c r="A205" s="1">
        <v>45708</v>
      </c>
      <c r="B205">
        <v>13</v>
      </c>
      <c r="C205">
        <v>25</v>
      </c>
      <c r="D205">
        <v>15</v>
      </c>
      <c r="E205" s="2">
        <v>2520</v>
      </c>
      <c r="F205">
        <v>32</v>
      </c>
      <c r="G205">
        <f>Table1[[#This Row],[Children apprehended and placed in CBP custody*]]-Table1[[#This Row],[Children discharged from HHS Care]]</f>
        <v>-19</v>
      </c>
    </row>
    <row r="206" spans="1:7" x14ac:dyDescent="0.25">
      <c r="A206" s="1">
        <v>45707</v>
      </c>
      <c r="B206">
        <v>12</v>
      </c>
      <c r="C206">
        <v>17</v>
      </c>
      <c r="D206">
        <v>17</v>
      </c>
      <c r="E206" s="2">
        <v>2528</v>
      </c>
      <c r="F206">
        <v>19</v>
      </c>
      <c r="G206">
        <f>Table1[[#This Row],[Children apprehended and placed in CBP custody*]]-Table1[[#This Row],[Children discharged from HHS Care]]</f>
        <v>-7</v>
      </c>
    </row>
    <row r="207" spans="1:7" x14ac:dyDescent="0.25">
      <c r="A207" s="1">
        <v>45706</v>
      </c>
      <c r="B207">
        <v>18</v>
      </c>
      <c r="C207">
        <v>19</v>
      </c>
      <c r="D207">
        <v>11</v>
      </c>
      <c r="E207" s="2">
        <v>2536</v>
      </c>
      <c r="F207">
        <v>9</v>
      </c>
      <c r="G207">
        <f>Table1[[#This Row],[Children apprehended and placed in CBP custody*]]-Table1[[#This Row],[Children discharged from HHS Care]]</f>
        <v>9</v>
      </c>
    </row>
    <row r="208" spans="1:7" x14ac:dyDescent="0.25">
      <c r="A208" s="1">
        <v>45705</v>
      </c>
      <c r="B208">
        <v>8</v>
      </c>
      <c r="C208">
        <v>17</v>
      </c>
      <c r="D208">
        <v>14</v>
      </c>
      <c r="E208" s="2">
        <v>2532</v>
      </c>
      <c r="F208">
        <v>15</v>
      </c>
      <c r="G208">
        <f>Table1[[#This Row],[Children apprehended and placed in CBP custody*]]-Table1[[#This Row],[Children discharged from HHS Care]]</f>
        <v>-7</v>
      </c>
    </row>
    <row r="209" spans="1:7" x14ac:dyDescent="0.25">
      <c r="A209" s="1">
        <v>45701</v>
      </c>
      <c r="B209">
        <v>15</v>
      </c>
      <c r="C209">
        <v>10</v>
      </c>
      <c r="D209">
        <v>23</v>
      </c>
      <c r="E209" s="2">
        <v>2703</v>
      </c>
      <c r="F209">
        <v>72</v>
      </c>
      <c r="G209">
        <f>Table1[[#This Row],[Children apprehended and placed in CBP custody*]]-Table1[[#This Row],[Children discharged from HHS Care]]</f>
        <v>-57</v>
      </c>
    </row>
    <row r="210" spans="1:7" x14ac:dyDescent="0.25">
      <c r="A210" s="1">
        <v>45700</v>
      </c>
      <c r="B210">
        <v>16</v>
      </c>
      <c r="C210">
        <v>20</v>
      </c>
      <c r="D210">
        <v>20</v>
      </c>
      <c r="E210" s="2">
        <v>2752</v>
      </c>
      <c r="F210">
        <v>66</v>
      </c>
      <c r="G210">
        <f>Table1[[#This Row],[Children apprehended and placed in CBP custody*]]-Table1[[#This Row],[Children discharged from HHS Care]]</f>
        <v>-50</v>
      </c>
    </row>
    <row r="211" spans="1:7" x14ac:dyDescent="0.25">
      <c r="A211" s="1">
        <v>45699</v>
      </c>
      <c r="B211">
        <v>11</v>
      </c>
      <c r="C211">
        <v>22</v>
      </c>
      <c r="D211">
        <v>12</v>
      </c>
      <c r="E211" s="2">
        <v>2799</v>
      </c>
      <c r="F211">
        <v>50</v>
      </c>
      <c r="G211">
        <f>Table1[[#This Row],[Children apprehended and placed in CBP custody*]]-Table1[[#This Row],[Children discharged from HHS Care]]</f>
        <v>-39</v>
      </c>
    </row>
    <row r="212" spans="1:7" x14ac:dyDescent="0.25">
      <c r="A212" s="1">
        <v>45698</v>
      </c>
      <c r="B212">
        <v>16</v>
      </c>
      <c r="C212">
        <v>18</v>
      </c>
      <c r="D212">
        <v>15</v>
      </c>
      <c r="E212" s="2">
        <v>2834</v>
      </c>
      <c r="F212">
        <v>63</v>
      </c>
      <c r="G212">
        <f>Table1[[#This Row],[Children apprehended and placed in CBP custody*]]-Table1[[#This Row],[Children discharged from HHS Care]]</f>
        <v>-47</v>
      </c>
    </row>
    <row r="213" spans="1:7" x14ac:dyDescent="0.25">
      <c r="A213" s="1">
        <v>45697</v>
      </c>
      <c r="B213">
        <v>15</v>
      </c>
      <c r="C213">
        <v>13</v>
      </c>
      <c r="D213">
        <v>23</v>
      </c>
      <c r="E213" s="2">
        <v>2878</v>
      </c>
      <c r="F213">
        <v>99</v>
      </c>
      <c r="G213">
        <f>Table1[[#This Row],[Children apprehended and placed in CBP custody*]]-Table1[[#This Row],[Children discharged from HHS Care]]</f>
        <v>-84</v>
      </c>
    </row>
    <row r="214" spans="1:7" x14ac:dyDescent="0.25">
      <c r="A214" s="1">
        <v>45694</v>
      </c>
      <c r="B214">
        <v>25</v>
      </c>
      <c r="C214">
        <v>32</v>
      </c>
      <c r="D214">
        <v>27</v>
      </c>
      <c r="E214" s="2">
        <v>3181</v>
      </c>
      <c r="F214">
        <v>145</v>
      </c>
      <c r="G214">
        <f>Table1[[#This Row],[Children apprehended and placed in CBP custody*]]-Table1[[#This Row],[Children discharged from HHS Care]]</f>
        <v>-120</v>
      </c>
    </row>
    <row r="215" spans="1:7" x14ac:dyDescent="0.25">
      <c r="A215" s="1">
        <v>45693</v>
      </c>
      <c r="B215">
        <v>26</v>
      </c>
      <c r="C215">
        <v>36</v>
      </c>
      <c r="D215">
        <v>36</v>
      </c>
      <c r="E215" s="2">
        <v>3290</v>
      </c>
      <c r="F215">
        <v>104</v>
      </c>
      <c r="G215">
        <f>Table1[[#This Row],[Children apprehended and placed in CBP custody*]]-Table1[[#This Row],[Children discharged from HHS Care]]</f>
        <v>-78</v>
      </c>
    </row>
    <row r="216" spans="1:7" x14ac:dyDescent="0.25">
      <c r="A216" s="1">
        <v>45692</v>
      </c>
      <c r="B216">
        <v>34</v>
      </c>
      <c r="C216">
        <v>54</v>
      </c>
      <c r="D216">
        <v>29</v>
      </c>
      <c r="E216" s="2">
        <v>3359</v>
      </c>
      <c r="F216">
        <v>74</v>
      </c>
      <c r="G216">
        <f>Table1[[#This Row],[Children apprehended and placed in CBP custody*]]-Table1[[#This Row],[Children discharged from HHS Care]]</f>
        <v>-40</v>
      </c>
    </row>
    <row r="217" spans="1:7" x14ac:dyDescent="0.25">
      <c r="A217" s="1">
        <v>45691</v>
      </c>
      <c r="B217">
        <v>23</v>
      </c>
      <c r="C217">
        <v>45</v>
      </c>
      <c r="D217">
        <v>11</v>
      </c>
      <c r="E217" s="2">
        <v>3403</v>
      </c>
      <c r="F217">
        <v>102</v>
      </c>
      <c r="G217">
        <f>Table1[[#This Row],[Children apprehended and placed in CBP custody*]]-Table1[[#This Row],[Children discharged from HHS Care]]</f>
        <v>-79</v>
      </c>
    </row>
    <row r="218" spans="1:7" x14ac:dyDescent="0.25">
      <c r="A218" s="1">
        <v>45690</v>
      </c>
      <c r="B218">
        <v>20</v>
      </c>
      <c r="C218">
        <v>22</v>
      </c>
      <c r="D218">
        <v>41</v>
      </c>
      <c r="E218" s="2">
        <v>3483</v>
      </c>
      <c r="F218">
        <v>168</v>
      </c>
      <c r="G218">
        <f>Table1[[#This Row],[Children apprehended and placed in CBP custody*]]-Table1[[#This Row],[Children discharged from HHS Care]]</f>
        <v>-148</v>
      </c>
    </row>
    <row r="219" spans="1:7" x14ac:dyDescent="0.25">
      <c r="A219" s="1">
        <v>45687</v>
      </c>
      <c r="B219">
        <v>47</v>
      </c>
      <c r="C219">
        <v>42</v>
      </c>
      <c r="D219">
        <v>47</v>
      </c>
      <c r="E219" s="2">
        <v>3923</v>
      </c>
      <c r="F219">
        <v>159</v>
      </c>
      <c r="G219">
        <f>Table1[[#This Row],[Children apprehended and placed in CBP custody*]]-Table1[[#This Row],[Children discharged from HHS Care]]</f>
        <v>-112</v>
      </c>
    </row>
    <row r="220" spans="1:7" x14ac:dyDescent="0.25">
      <c r="A220" s="1">
        <v>45686</v>
      </c>
      <c r="B220">
        <v>32</v>
      </c>
      <c r="C220">
        <v>50</v>
      </c>
      <c r="D220">
        <v>39</v>
      </c>
      <c r="E220" s="2">
        <v>4036</v>
      </c>
      <c r="F220">
        <v>99</v>
      </c>
      <c r="G220">
        <f>Table1[[#This Row],[Children apprehended and placed in CBP custody*]]-Table1[[#This Row],[Children discharged from HHS Care]]</f>
        <v>-67</v>
      </c>
    </row>
    <row r="221" spans="1:7" x14ac:dyDescent="0.25">
      <c r="A221" s="1">
        <v>45685</v>
      </c>
      <c r="B221">
        <v>32</v>
      </c>
      <c r="C221">
        <v>49</v>
      </c>
      <c r="D221">
        <v>39</v>
      </c>
      <c r="E221" s="2">
        <v>4096</v>
      </c>
      <c r="F221">
        <v>101</v>
      </c>
      <c r="G221">
        <f>Table1[[#This Row],[Children apprehended and placed in CBP custody*]]-Table1[[#This Row],[Children discharged from HHS Care]]</f>
        <v>-69</v>
      </c>
    </row>
    <row r="222" spans="1:7" x14ac:dyDescent="0.25">
      <c r="A222" s="1">
        <v>45684</v>
      </c>
      <c r="B222">
        <v>33</v>
      </c>
      <c r="C222">
        <v>53</v>
      </c>
      <c r="D222">
        <v>34</v>
      </c>
      <c r="E222" s="2">
        <v>4161</v>
      </c>
      <c r="F222">
        <v>127</v>
      </c>
      <c r="G222">
        <f>Table1[[#This Row],[Children apprehended and placed in CBP custody*]]-Table1[[#This Row],[Children discharged from HHS Care]]</f>
        <v>-94</v>
      </c>
    </row>
    <row r="223" spans="1:7" x14ac:dyDescent="0.25">
      <c r="A223" s="1">
        <v>45683</v>
      </c>
      <c r="B223">
        <v>29</v>
      </c>
      <c r="C223">
        <v>51</v>
      </c>
      <c r="D223">
        <v>11</v>
      </c>
      <c r="E223" s="2">
        <v>4241</v>
      </c>
      <c r="F223">
        <v>182</v>
      </c>
      <c r="G223">
        <f>Table1[[#This Row],[Children apprehended and placed in CBP custody*]]-Table1[[#This Row],[Children discharged from HHS Care]]</f>
        <v>-153</v>
      </c>
    </row>
    <row r="224" spans="1:7" x14ac:dyDescent="0.25">
      <c r="A224" s="1">
        <v>45680</v>
      </c>
      <c r="B224">
        <v>91</v>
      </c>
      <c r="C224">
        <v>75</v>
      </c>
      <c r="D224">
        <v>97</v>
      </c>
      <c r="E224" s="2">
        <v>4621</v>
      </c>
      <c r="F224">
        <v>174</v>
      </c>
      <c r="G224">
        <f>Table1[[#This Row],[Children apprehended and placed in CBP custody*]]-Table1[[#This Row],[Children discharged from HHS Care]]</f>
        <v>-83</v>
      </c>
    </row>
    <row r="225" spans="1:7" x14ac:dyDescent="0.25">
      <c r="A225" s="1">
        <v>45679</v>
      </c>
      <c r="B225">
        <v>62</v>
      </c>
      <c r="C225">
        <v>97</v>
      </c>
      <c r="D225">
        <v>52</v>
      </c>
      <c r="E225" s="2">
        <v>4717</v>
      </c>
      <c r="F225">
        <v>83</v>
      </c>
      <c r="G225">
        <f>Table1[[#This Row],[Children apprehended and placed in CBP custody*]]-Table1[[#This Row],[Children discharged from HHS Care]]</f>
        <v>-21</v>
      </c>
    </row>
    <row r="226" spans="1:7" x14ac:dyDescent="0.25">
      <c r="A226" s="1">
        <v>45678</v>
      </c>
      <c r="B226">
        <v>59</v>
      </c>
      <c r="C226">
        <v>64</v>
      </c>
      <c r="D226">
        <v>117</v>
      </c>
      <c r="E226" s="2">
        <v>4728</v>
      </c>
      <c r="F226">
        <v>54</v>
      </c>
      <c r="G226">
        <f>Table1[[#This Row],[Children apprehended and placed in CBP custody*]]-Table1[[#This Row],[Children discharged from HHS Care]]</f>
        <v>5</v>
      </c>
    </row>
    <row r="227" spans="1:7" x14ac:dyDescent="0.25">
      <c r="A227" s="1">
        <v>45677</v>
      </c>
      <c r="B227">
        <v>84</v>
      </c>
      <c r="C227">
        <v>118</v>
      </c>
      <c r="D227">
        <v>136</v>
      </c>
      <c r="E227" s="2">
        <v>4638</v>
      </c>
      <c r="F227">
        <v>127</v>
      </c>
      <c r="G227">
        <f>Table1[[#This Row],[Children apprehended and placed in CBP custody*]]-Table1[[#This Row],[Children discharged from HHS Care]]</f>
        <v>-43</v>
      </c>
    </row>
    <row r="228" spans="1:7" x14ac:dyDescent="0.25">
      <c r="A228" s="1">
        <v>45676</v>
      </c>
      <c r="B228">
        <v>86</v>
      </c>
      <c r="C228">
        <v>152</v>
      </c>
      <c r="D228">
        <v>168</v>
      </c>
      <c r="E228" s="2">
        <v>4628</v>
      </c>
      <c r="F228">
        <v>176</v>
      </c>
      <c r="G228">
        <f>Table1[[#This Row],[Children apprehended and placed in CBP custody*]]-Table1[[#This Row],[Children discharged from HHS Care]]</f>
        <v>-90</v>
      </c>
    </row>
    <row r="229" spans="1:7" x14ac:dyDescent="0.25">
      <c r="A229" s="1">
        <v>45673</v>
      </c>
      <c r="B229">
        <v>106</v>
      </c>
      <c r="C229">
        <v>196</v>
      </c>
      <c r="D229">
        <v>131</v>
      </c>
      <c r="E229" s="2">
        <v>4881</v>
      </c>
      <c r="F229">
        <v>159</v>
      </c>
      <c r="G229">
        <f>Table1[[#This Row],[Children apprehended and placed in CBP custody*]]-Table1[[#This Row],[Children discharged from HHS Care]]</f>
        <v>-53</v>
      </c>
    </row>
    <row r="230" spans="1:7" x14ac:dyDescent="0.25">
      <c r="A230" s="1">
        <v>45672</v>
      </c>
      <c r="B230">
        <v>113</v>
      </c>
      <c r="C230">
        <v>162</v>
      </c>
      <c r="D230">
        <v>107</v>
      </c>
      <c r="E230" s="2">
        <v>4903</v>
      </c>
      <c r="F230">
        <v>164</v>
      </c>
      <c r="G230">
        <f>Table1[[#This Row],[Children apprehended and placed in CBP custody*]]-Table1[[#This Row],[Children discharged from HHS Care]]</f>
        <v>-51</v>
      </c>
    </row>
    <row r="231" spans="1:7" x14ac:dyDescent="0.25">
      <c r="A231" s="1">
        <v>45671</v>
      </c>
      <c r="B231">
        <v>92</v>
      </c>
      <c r="C231">
        <v>124</v>
      </c>
      <c r="D231">
        <v>93</v>
      </c>
      <c r="E231" s="2">
        <v>4957</v>
      </c>
      <c r="F231">
        <v>139</v>
      </c>
      <c r="G231">
        <f>Table1[[#This Row],[Children apprehended and placed in CBP custody*]]-Table1[[#This Row],[Children discharged from HHS Care]]</f>
        <v>-47</v>
      </c>
    </row>
    <row r="232" spans="1:7" x14ac:dyDescent="0.25">
      <c r="A232" s="1">
        <v>45670</v>
      </c>
      <c r="B232">
        <v>68</v>
      </c>
      <c r="C232">
        <v>107</v>
      </c>
      <c r="D232">
        <v>102</v>
      </c>
      <c r="E232" s="2">
        <v>5019</v>
      </c>
      <c r="F232">
        <v>181</v>
      </c>
      <c r="G232">
        <f>Table1[[#This Row],[Children apprehended and placed in CBP custody*]]-Table1[[#This Row],[Children discharged from HHS Care]]</f>
        <v>-113</v>
      </c>
    </row>
    <row r="233" spans="1:7" x14ac:dyDescent="0.25">
      <c r="A233" s="1">
        <v>45669</v>
      </c>
      <c r="B233">
        <v>74</v>
      </c>
      <c r="C233">
        <v>103</v>
      </c>
      <c r="D233">
        <v>80</v>
      </c>
      <c r="E233" s="2">
        <v>5092</v>
      </c>
      <c r="F233">
        <v>235</v>
      </c>
      <c r="G233">
        <f>Table1[[#This Row],[Children apprehended and placed in CBP custody*]]-Table1[[#This Row],[Children discharged from HHS Care]]</f>
        <v>-161</v>
      </c>
    </row>
    <row r="234" spans="1:7" x14ac:dyDescent="0.25">
      <c r="A234" s="1">
        <v>45666</v>
      </c>
      <c r="B234">
        <v>56</v>
      </c>
      <c r="C234">
        <v>82</v>
      </c>
      <c r="D234">
        <v>68</v>
      </c>
      <c r="E234" s="2">
        <v>5507</v>
      </c>
      <c r="F234">
        <v>164</v>
      </c>
      <c r="G234">
        <f>Table1[[#This Row],[Children apprehended and placed in CBP custody*]]-Table1[[#This Row],[Children discharged from HHS Care]]</f>
        <v>-108</v>
      </c>
    </row>
    <row r="235" spans="1:7" x14ac:dyDescent="0.25">
      <c r="A235" s="1">
        <v>45665</v>
      </c>
      <c r="B235">
        <v>38</v>
      </c>
      <c r="C235">
        <v>80</v>
      </c>
      <c r="D235">
        <v>82</v>
      </c>
      <c r="E235" s="2">
        <v>5605</v>
      </c>
      <c r="F235">
        <v>184</v>
      </c>
      <c r="G235">
        <f>Table1[[#This Row],[Children apprehended and placed in CBP custody*]]-Table1[[#This Row],[Children discharged from HHS Care]]</f>
        <v>-146</v>
      </c>
    </row>
    <row r="236" spans="1:7" x14ac:dyDescent="0.25">
      <c r="A236" s="1">
        <v>45664</v>
      </c>
      <c r="B236">
        <v>65</v>
      </c>
      <c r="C236">
        <v>83</v>
      </c>
      <c r="D236">
        <v>65</v>
      </c>
      <c r="E236" s="2">
        <v>5703</v>
      </c>
      <c r="F236">
        <v>133</v>
      </c>
      <c r="G236">
        <f>Table1[[#This Row],[Children apprehended and placed in CBP custody*]]-Table1[[#This Row],[Children discharged from HHS Care]]</f>
        <v>-68</v>
      </c>
    </row>
    <row r="237" spans="1:7" x14ac:dyDescent="0.25">
      <c r="A237" s="1">
        <v>45663</v>
      </c>
      <c r="B237">
        <v>41</v>
      </c>
      <c r="C237">
        <v>60</v>
      </c>
      <c r="D237">
        <v>71</v>
      </c>
      <c r="E237" s="2">
        <v>5769</v>
      </c>
      <c r="F237">
        <v>190</v>
      </c>
      <c r="G237">
        <f>Table1[[#This Row],[Children apprehended and placed in CBP custody*]]-Table1[[#This Row],[Children discharged from HHS Care]]</f>
        <v>-149</v>
      </c>
    </row>
    <row r="238" spans="1:7" x14ac:dyDescent="0.25">
      <c r="A238" s="1">
        <v>45662</v>
      </c>
      <c r="B238">
        <v>43</v>
      </c>
      <c r="C238">
        <v>73</v>
      </c>
      <c r="D238">
        <v>64</v>
      </c>
      <c r="E238" s="2">
        <v>5882</v>
      </c>
      <c r="F238">
        <v>185</v>
      </c>
      <c r="G238">
        <f>Table1[[#This Row],[Children apprehended and placed in CBP custody*]]-Table1[[#This Row],[Children discharged from HHS Care]]</f>
        <v>-142</v>
      </c>
    </row>
    <row r="239" spans="1:7" x14ac:dyDescent="0.25">
      <c r="A239" s="1">
        <v>45659</v>
      </c>
      <c r="B239">
        <v>35</v>
      </c>
      <c r="C239">
        <v>70</v>
      </c>
      <c r="D239">
        <v>53</v>
      </c>
      <c r="E239" s="2">
        <v>6292</v>
      </c>
      <c r="F239">
        <v>170</v>
      </c>
      <c r="G239">
        <f>Table1[[#This Row],[Children apprehended and placed in CBP custody*]]-Table1[[#This Row],[Children discharged from HHS Care]]</f>
        <v>-135</v>
      </c>
    </row>
    <row r="240" spans="1:7" x14ac:dyDescent="0.25">
      <c r="A240" s="1">
        <v>45658</v>
      </c>
      <c r="B240">
        <v>25</v>
      </c>
      <c r="C240">
        <v>66</v>
      </c>
      <c r="D240">
        <v>94</v>
      </c>
      <c r="E240" s="2">
        <v>6405</v>
      </c>
      <c r="F240">
        <v>144</v>
      </c>
      <c r="G240">
        <f>Table1[[#This Row],[Children apprehended and placed in CBP custody*]]-Table1[[#This Row],[Children discharged from HHS Care]]</f>
        <v>-119</v>
      </c>
    </row>
    <row r="241" spans="1:7" x14ac:dyDescent="0.25">
      <c r="A241" s="1">
        <v>45656</v>
      </c>
      <c r="B241">
        <v>99</v>
      </c>
      <c r="C241">
        <v>156</v>
      </c>
      <c r="D241">
        <v>139</v>
      </c>
      <c r="E241" s="2">
        <v>6454</v>
      </c>
      <c r="F241">
        <v>177</v>
      </c>
      <c r="G241">
        <f>Table1[[#This Row],[Children apprehended and placed in CBP custody*]]-Table1[[#This Row],[Children discharged from HHS Care]]</f>
        <v>-78</v>
      </c>
    </row>
    <row r="242" spans="1:7" x14ac:dyDescent="0.25">
      <c r="A242" s="1">
        <v>45655</v>
      </c>
      <c r="B242">
        <v>107</v>
      </c>
      <c r="C242">
        <v>170</v>
      </c>
      <c r="D242">
        <v>133</v>
      </c>
      <c r="E242" s="2">
        <v>6465</v>
      </c>
      <c r="F242">
        <v>216</v>
      </c>
      <c r="G242">
        <f>Table1[[#This Row],[Children apprehended and placed in CBP custody*]]-Table1[[#This Row],[Children discharged from HHS Care]]</f>
        <v>-109</v>
      </c>
    </row>
    <row r="243" spans="1:7" x14ac:dyDescent="0.25">
      <c r="A243" s="1">
        <v>45652</v>
      </c>
      <c r="B243">
        <v>80</v>
      </c>
      <c r="C243">
        <v>122</v>
      </c>
      <c r="D243">
        <v>152</v>
      </c>
      <c r="E243" s="2">
        <v>6707</v>
      </c>
      <c r="F243">
        <v>135</v>
      </c>
      <c r="G243">
        <f>Table1[[#This Row],[Children apprehended and placed in CBP custody*]]-Table1[[#This Row],[Children discharged from HHS Care]]</f>
        <v>-55</v>
      </c>
    </row>
    <row r="244" spans="1:7" x14ac:dyDescent="0.25">
      <c r="A244" s="1">
        <v>45651</v>
      </c>
      <c r="B244">
        <v>57</v>
      </c>
      <c r="C244">
        <v>162</v>
      </c>
      <c r="D244">
        <v>193</v>
      </c>
      <c r="E244" s="2">
        <v>6689</v>
      </c>
      <c r="F244">
        <v>107</v>
      </c>
      <c r="G244">
        <f>Table1[[#This Row],[Children apprehended and placed in CBP custody*]]-Table1[[#This Row],[Children discharged from HHS Care]]</f>
        <v>-50</v>
      </c>
    </row>
    <row r="245" spans="1:7" x14ac:dyDescent="0.25">
      <c r="A245" s="1">
        <v>45650</v>
      </c>
      <c r="B245">
        <v>161</v>
      </c>
      <c r="C245">
        <v>304</v>
      </c>
      <c r="D245">
        <v>211</v>
      </c>
      <c r="E245" s="2">
        <v>6622</v>
      </c>
      <c r="F245">
        <v>155</v>
      </c>
      <c r="G245">
        <f>Table1[[#This Row],[Children apprehended and placed in CBP custody*]]-Table1[[#This Row],[Children discharged from HHS Care]]</f>
        <v>6</v>
      </c>
    </row>
    <row r="246" spans="1:7" x14ac:dyDescent="0.25">
      <c r="A246" s="1">
        <v>45649</v>
      </c>
      <c r="B246">
        <v>205</v>
      </c>
      <c r="C246">
        <v>294</v>
      </c>
      <c r="D246">
        <v>177</v>
      </c>
      <c r="E246" s="2">
        <v>6548</v>
      </c>
      <c r="F246">
        <v>231</v>
      </c>
      <c r="G246">
        <f>Table1[[#This Row],[Children apprehended and placed in CBP custody*]]-Table1[[#This Row],[Children discharged from HHS Care]]</f>
        <v>-26</v>
      </c>
    </row>
    <row r="247" spans="1:7" x14ac:dyDescent="0.25">
      <c r="A247" s="1">
        <v>45648</v>
      </c>
      <c r="B247">
        <v>100</v>
      </c>
      <c r="C247">
        <v>255</v>
      </c>
      <c r="D247">
        <v>236</v>
      </c>
      <c r="E247" s="2">
        <v>6595</v>
      </c>
      <c r="F247">
        <v>268</v>
      </c>
      <c r="G247">
        <f>Table1[[#This Row],[Children apprehended and placed in CBP custody*]]-Table1[[#This Row],[Children discharged from HHS Care]]</f>
        <v>-168</v>
      </c>
    </row>
    <row r="248" spans="1:7" x14ac:dyDescent="0.25">
      <c r="A248" s="1">
        <v>45645</v>
      </c>
      <c r="B248">
        <v>269</v>
      </c>
      <c r="C248">
        <v>412</v>
      </c>
      <c r="D248">
        <v>204</v>
      </c>
      <c r="E248" s="2">
        <v>6600</v>
      </c>
      <c r="F248">
        <v>238</v>
      </c>
      <c r="G248">
        <f>Table1[[#This Row],[Children apprehended and placed in CBP custody*]]-Table1[[#This Row],[Children discharged from HHS Care]]</f>
        <v>31</v>
      </c>
    </row>
    <row r="249" spans="1:7" x14ac:dyDescent="0.25">
      <c r="A249" s="1">
        <v>45644</v>
      </c>
      <c r="B249">
        <v>168</v>
      </c>
      <c r="C249">
        <v>285</v>
      </c>
      <c r="D249">
        <v>210</v>
      </c>
      <c r="E249" s="2">
        <v>6598</v>
      </c>
      <c r="F249">
        <v>134</v>
      </c>
      <c r="G249">
        <f>Table1[[#This Row],[Children apprehended and placed in CBP custody*]]-Table1[[#This Row],[Children discharged from HHS Care]]</f>
        <v>34</v>
      </c>
    </row>
    <row r="250" spans="1:7" x14ac:dyDescent="0.25">
      <c r="A250" s="1">
        <v>45643</v>
      </c>
      <c r="B250">
        <v>187</v>
      </c>
      <c r="C250">
        <v>310</v>
      </c>
      <c r="D250">
        <v>247</v>
      </c>
      <c r="E250" s="2">
        <v>6506</v>
      </c>
      <c r="F250">
        <v>151</v>
      </c>
      <c r="G250">
        <f>Table1[[#This Row],[Children apprehended and placed in CBP custody*]]-Table1[[#This Row],[Children discharged from HHS Care]]</f>
        <v>36</v>
      </c>
    </row>
    <row r="251" spans="1:7" x14ac:dyDescent="0.25">
      <c r="A251" s="1">
        <v>45642</v>
      </c>
      <c r="B251">
        <v>133</v>
      </c>
      <c r="C251">
        <v>287</v>
      </c>
      <c r="D251">
        <v>189</v>
      </c>
      <c r="E251" s="2">
        <v>6454</v>
      </c>
      <c r="F251">
        <v>149</v>
      </c>
      <c r="G251">
        <f>Table1[[#This Row],[Children apprehended and placed in CBP custody*]]-Table1[[#This Row],[Children discharged from HHS Care]]</f>
        <v>-16</v>
      </c>
    </row>
    <row r="252" spans="1:7" x14ac:dyDescent="0.25">
      <c r="A252" s="1">
        <v>45641</v>
      </c>
      <c r="B252">
        <v>180</v>
      </c>
      <c r="C252">
        <v>337</v>
      </c>
      <c r="D252">
        <v>219</v>
      </c>
      <c r="E252" s="2">
        <v>6408</v>
      </c>
      <c r="F252">
        <v>224</v>
      </c>
      <c r="G252">
        <f>Table1[[#This Row],[Children apprehended and placed in CBP custody*]]-Table1[[#This Row],[Children discharged from HHS Care]]</f>
        <v>-44</v>
      </c>
    </row>
    <row r="253" spans="1:7" x14ac:dyDescent="0.25">
      <c r="A253" s="1">
        <v>45638</v>
      </c>
      <c r="B253">
        <v>153</v>
      </c>
      <c r="C253">
        <v>253</v>
      </c>
      <c r="D253">
        <v>286</v>
      </c>
      <c r="E253" s="2">
        <v>6481</v>
      </c>
      <c r="F253">
        <v>194</v>
      </c>
      <c r="G253">
        <f>Table1[[#This Row],[Children apprehended and placed in CBP custody*]]-Table1[[#This Row],[Children discharged from HHS Care]]</f>
        <v>-41</v>
      </c>
    </row>
    <row r="254" spans="1:7" x14ac:dyDescent="0.25">
      <c r="A254" s="1">
        <v>45637</v>
      </c>
      <c r="B254">
        <v>209</v>
      </c>
      <c r="C254">
        <v>353</v>
      </c>
      <c r="D254">
        <v>232</v>
      </c>
      <c r="E254" s="2">
        <v>6402</v>
      </c>
      <c r="F254">
        <v>152</v>
      </c>
      <c r="G254">
        <f>Table1[[#This Row],[Children apprehended and placed in CBP custody*]]-Table1[[#This Row],[Children discharged from HHS Care]]</f>
        <v>57</v>
      </c>
    </row>
    <row r="255" spans="1:7" x14ac:dyDescent="0.25">
      <c r="A255" s="1">
        <v>45636</v>
      </c>
      <c r="B255">
        <v>167</v>
      </c>
      <c r="C255">
        <v>326</v>
      </c>
      <c r="D255">
        <v>213</v>
      </c>
      <c r="E255" s="2">
        <v>6310</v>
      </c>
      <c r="F255">
        <v>149</v>
      </c>
      <c r="G255">
        <f>Table1[[#This Row],[Children apprehended and placed in CBP custody*]]-Table1[[#This Row],[Children discharged from HHS Care]]</f>
        <v>18</v>
      </c>
    </row>
    <row r="256" spans="1:7" x14ac:dyDescent="0.25">
      <c r="A256" s="1">
        <v>45635</v>
      </c>
      <c r="B256">
        <v>224</v>
      </c>
      <c r="C256">
        <v>315</v>
      </c>
      <c r="D256">
        <v>152</v>
      </c>
      <c r="E256" s="2">
        <v>6268</v>
      </c>
      <c r="F256">
        <v>174</v>
      </c>
      <c r="G256">
        <f>Table1[[#This Row],[Children apprehended and placed in CBP custody*]]-Table1[[#This Row],[Children discharged from HHS Care]]</f>
        <v>50</v>
      </c>
    </row>
    <row r="257" spans="1:7" x14ac:dyDescent="0.25">
      <c r="A257" s="1">
        <v>45634</v>
      </c>
      <c r="B257">
        <v>132</v>
      </c>
      <c r="C257">
        <v>243</v>
      </c>
      <c r="D257">
        <v>183</v>
      </c>
      <c r="E257" s="2">
        <v>6286</v>
      </c>
      <c r="F257">
        <v>172</v>
      </c>
      <c r="G257">
        <f>Table1[[#This Row],[Children apprehended and placed in CBP custody*]]-Table1[[#This Row],[Children discharged from HHS Care]]</f>
        <v>-40</v>
      </c>
    </row>
    <row r="258" spans="1:7" x14ac:dyDescent="0.25">
      <c r="A258" s="1">
        <v>45631</v>
      </c>
      <c r="B258">
        <v>218</v>
      </c>
      <c r="C258">
        <v>283</v>
      </c>
      <c r="D258">
        <v>208</v>
      </c>
      <c r="E258" s="2">
        <v>6310</v>
      </c>
      <c r="F258">
        <v>150</v>
      </c>
      <c r="G258">
        <f>Table1[[#This Row],[Children apprehended and placed in CBP custody*]]-Table1[[#This Row],[Children discharged from HHS Care]]</f>
        <v>68</v>
      </c>
    </row>
    <row r="259" spans="1:7" x14ac:dyDescent="0.25">
      <c r="A259" s="1">
        <v>45630</v>
      </c>
      <c r="B259">
        <v>118</v>
      </c>
      <c r="C259">
        <v>245</v>
      </c>
      <c r="D259">
        <v>160</v>
      </c>
      <c r="E259" s="2">
        <v>6269</v>
      </c>
      <c r="F259">
        <v>115</v>
      </c>
      <c r="G259">
        <f>Table1[[#This Row],[Children apprehended and placed in CBP custody*]]-Table1[[#This Row],[Children discharged from HHS Care]]</f>
        <v>3</v>
      </c>
    </row>
    <row r="260" spans="1:7" x14ac:dyDescent="0.25">
      <c r="A260" s="1">
        <v>45629</v>
      </c>
      <c r="B260">
        <v>81</v>
      </c>
      <c r="C260">
        <v>230</v>
      </c>
      <c r="D260">
        <v>242</v>
      </c>
      <c r="E260" s="2">
        <v>6192</v>
      </c>
      <c r="F260">
        <v>107</v>
      </c>
      <c r="G260">
        <f>Table1[[#This Row],[Children apprehended and placed in CBP custody*]]-Table1[[#This Row],[Children discharged from HHS Care]]</f>
        <v>-26</v>
      </c>
    </row>
    <row r="261" spans="1:7" x14ac:dyDescent="0.25">
      <c r="A261" s="1">
        <v>45628</v>
      </c>
      <c r="B261">
        <v>236</v>
      </c>
      <c r="C261">
        <v>330</v>
      </c>
      <c r="D261">
        <v>222</v>
      </c>
      <c r="E261" s="2">
        <v>6061</v>
      </c>
      <c r="F261">
        <v>115</v>
      </c>
      <c r="G261">
        <f>Table1[[#This Row],[Children apprehended and placed in CBP custody*]]-Table1[[#This Row],[Children discharged from HHS Care]]</f>
        <v>121</v>
      </c>
    </row>
    <row r="262" spans="1:7" x14ac:dyDescent="0.25">
      <c r="A262" s="1">
        <v>45627</v>
      </c>
      <c r="B262">
        <v>196</v>
      </c>
      <c r="C262">
        <v>306</v>
      </c>
      <c r="D262">
        <v>187</v>
      </c>
      <c r="E262" s="2">
        <v>5986</v>
      </c>
      <c r="F262">
        <v>149</v>
      </c>
      <c r="G262">
        <f>Table1[[#This Row],[Children apprehended and placed in CBP custody*]]-Table1[[#This Row],[Children discharged from HHS Care]]</f>
        <v>47</v>
      </c>
    </row>
    <row r="263" spans="1:7" x14ac:dyDescent="0.25">
      <c r="A263" s="1">
        <v>45624</v>
      </c>
      <c r="B263">
        <v>113</v>
      </c>
      <c r="C263">
        <v>280</v>
      </c>
      <c r="D263">
        <v>237</v>
      </c>
      <c r="E263" s="2">
        <v>5963</v>
      </c>
      <c r="F263">
        <v>143</v>
      </c>
      <c r="G263">
        <f>Table1[[#This Row],[Children apprehended and placed in CBP custody*]]-Table1[[#This Row],[Children discharged from HHS Care]]</f>
        <v>-30</v>
      </c>
    </row>
    <row r="264" spans="1:7" x14ac:dyDescent="0.25">
      <c r="A264" s="1">
        <v>45623</v>
      </c>
      <c r="B264">
        <v>239</v>
      </c>
      <c r="C264">
        <v>367</v>
      </c>
      <c r="D264">
        <v>224</v>
      </c>
      <c r="E264" s="2">
        <v>5862</v>
      </c>
      <c r="F264">
        <v>211</v>
      </c>
      <c r="G264">
        <f>Table1[[#This Row],[Children apprehended and placed in CBP custody*]]-Table1[[#This Row],[Children discharged from HHS Care]]</f>
        <v>28</v>
      </c>
    </row>
    <row r="265" spans="1:7" x14ac:dyDescent="0.25">
      <c r="A265" s="1">
        <v>45622</v>
      </c>
      <c r="B265">
        <v>152</v>
      </c>
      <c r="C265">
        <v>272</v>
      </c>
      <c r="D265">
        <v>214</v>
      </c>
      <c r="E265" s="2">
        <v>5826</v>
      </c>
      <c r="F265">
        <v>112</v>
      </c>
      <c r="G265">
        <f>Table1[[#This Row],[Children apprehended and placed in CBP custody*]]-Table1[[#This Row],[Children discharged from HHS Care]]</f>
        <v>40</v>
      </c>
    </row>
    <row r="266" spans="1:7" x14ac:dyDescent="0.25">
      <c r="A266" s="1">
        <v>45621</v>
      </c>
      <c r="B266">
        <v>170</v>
      </c>
      <c r="C266">
        <v>297</v>
      </c>
      <c r="D266">
        <v>196</v>
      </c>
      <c r="E266" s="2">
        <v>5715</v>
      </c>
      <c r="F266">
        <v>129</v>
      </c>
      <c r="G266">
        <f>Table1[[#This Row],[Children apprehended and placed in CBP custody*]]-Table1[[#This Row],[Children discharged from HHS Care]]</f>
        <v>41</v>
      </c>
    </row>
    <row r="267" spans="1:7" x14ac:dyDescent="0.25">
      <c r="A267" s="1">
        <v>45620</v>
      </c>
      <c r="B267">
        <v>191</v>
      </c>
      <c r="C267">
        <v>283</v>
      </c>
      <c r="D267">
        <v>192</v>
      </c>
      <c r="E267" s="2">
        <v>5664</v>
      </c>
      <c r="F267">
        <v>207</v>
      </c>
      <c r="G267">
        <f>Table1[[#This Row],[Children apprehended and placed in CBP custody*]]-Table1[[#This Row],[Children discharged from HHS Care]]</f>
        <v>-16</v>
      </c>
    </row>
    <row r="268" spans="1:7" x14ac:dyDescent="0.25">
      <c r="A268" s="1">
        <v>45617</v>
      </c>
      <c r="B268">
        <v>109</v>
      </c>
      <c r="C268">
        <v>214</v>
      </c>
      <c r="D268">
        <v>173</v>
      </c>
      <c r="E268" s="2">
        <v>5850</v>
      </c>
      <c r="F268">
        <v>210</v>
      </c>
      <c r="G268">
        <f>Table1[[#This Row],[Children apprehended and placed in CBP custody*]]-Table1[[#This Row],[Children discharged from HHS Care]]</f>
        <v>-101</v>
      </c>
    </row>
    <row r="269" spans="1:7" x14ac:dyDescent="0.25">
      <c r="A269" s="1">
        <v>45616</v>
      </c>
      <c r="B269">
        <v>155</v>
      </c>
      <c r="C269">
        <v>212</v>
      </c>
      <c r="D269">
        <v>181</v>
      </c>
      <c r="E269" s="2">
        <v>5879</v>
      </c>
      <c r="F269">
        <v>148</v>
      </c>
      <c r="G269">
        <f>Table1[[#This Row],[Children apprehended and placed in CBP custody*]]-Table1[[#This Row],[Children discharged from HHS Care]]</f>
        <v>7</v>
      </c>
    </row>
    <row r="270" spans="1:7" x14ac:dyDescent="0.25">
      <c r="A270" s="1">
        <v>45615</v>
      </c>
      <c r="B270">
        <v>119</v>
      </c>
      <c r="C270">
        <v>209</v>
      </c>
      <c r="D270">
        <v>152</v>
      </c>
      <c r="E270" s="2">
        <v>5844</v>
      </c>
      <c r="F270">
        <v>146</v>
      </c>
      <c r="G270">
        <f>Table1[[#This Row],[Children apprehended and placed in CBP custody*]]-Table1[[#This Row],[Children discharged from HHS Care]]</f>
        <v>-27</v>
      </c>
    </row>
    <row r="271" spans="1:7" x14ac:dyDescent="0.25">
      <c r="A271" s="1">
        <v>45614</v>
      </c>
      <c r="B271">
        <v>143</v>
      </c>
      <c r="C271">
        <v>203</v>
      </c>
      <c r="D271">
        <v>163</v>
      </c>
      <c r="E271" s="2">
        <v>5819</v>
      </c>
      <c r="F271">
        <v>138</v>
      </c>
      <c r="G271">
        <f>Table1[[#This Row],[Children apprehended and placed in CBP custody*]]-Table1[[#This Row],[Children discharged from HHS Care]]</f>
        <v>5</v>
      </c>
    </row>
    <row r="272" spans="1:7" x14ac:dyDescent="0.25">
      <c r="A272" s="1">
        <v>45613</v>
      </c>
      <c r="B272">
        <v>105</v>
      </c>
      <c r="C272">
        <v>210</v>
      </c>
      <c r="D272">
        <v>149</v>
      </c>
      <c r="E272" s="2">
        <v>5816</v>
      </c>
      <c r="F272">
        <v>195</v>
      </c>
      <c r="G272">
        <f>Table1[[#This Row],[Children apprehended and placed in CBP custody*]]-Table1[[#This Row],[Children discharged from HHS Care]]</f>
        <v>-90</v>
      </c>
    </row>
    <row r="273" spans="1:7" x14ac:dyDescent="0.25">
      <c r="A273" s="1">
        <v>45610</v>
      </c>
      <c r="B273">
        <v>119</v>
      </c>
      <c r="C273">
        <v>219</v>
      </c>
      <c r="D273">
        <v>210</v>
      </c>
      <c r="E273" s="2">
        <v>6025</v>
      </c>
      <c r="F273">
        <v>172</v>
      </c>
      <c r="G273">
        <f>Table1[[#This Row],[Children apprehended and placed in CBP custody*]]-Table1[[#This Row],[Children discharged from HHS Care]]</f>
        <v>-53</v>
      </c>
    </row>
    <row r="274" spans="1:7" x14ac:dyDescent="0.25">
      <c r="A274" s="1">
        <v>45609</v>
      </c>
      <c r="B274">
        <v>148</v>
      </c>
      <c r="C274">
        <v>245</v>
      </c>
      <c r="D274">
        <v>175</v>
      </c>
      <c r="E274" s="2">
        <v>5966</v>
      </c>
      <c r="F274">
        <v>151</v>
      </c>
      <c r="G274">
        <f>Table1[[#This Row],[Children apprehended and placed in CBP custody*]]-Table1[[#This Row],[Children discharged from HHS Care]]</f>
        <v>-3</v>
      </c>
    </row>
    <row r="275" spans="1:7" x14ac:dyDescent="0.25">
      <c r="A275" s="1">
        <v>45608</v>
      </c>
      <c r="B275">
        <v>142</v>
      </c>
      <c r="C275">
        <v>235</v>
      </c>
      <c r="D275">
        <v>139</v>
      </c>
      <c r="E275" s="2">
        <v>5975</v>
      </c>
      <c r="F275">
        <v>138</v>
      </c>
      <c r="G275">
        <f>Table1[[#This Row],[Children apprehended and placed in CBP custody*]]-Table1[[#This Row],[Children discharged from HHS Care]]</f>
        <v>4</v>
      </c>
    </row>
    <row r="276" spans="1:7" x14ac:dyDescent="0.25">
      <c r="A276" s="1">
        <v>45607</v>
      </c>
      <c r="B276">
        <v>118</v>
      </c>
      <c r="C276">
        <v>139</v>
      </c>
      <c r="D276">
        <v>168</v>
      </c>
      <c r="E276" s="2">
        <v>5963</v>
      </c>
      <c r="F276">
        <v>145</v>
      </c>
      <c r="G276">
        <f>Table1[[#This Row],[Children apprehended and placed in CBP custody*]]-Table1[[#This Row],[Children discharged from HHS Care]]</f>
        <v>-27</v>
      </c>
    </row>
    <row r="277" spans="1:7" x14ac:dyDescent="0.25">
      <c r="A277" s="1">
        <v>45603</v>
      </c>
      <c r="B277">
        <v>125</v>
      </c>
      <c r="C277">
        <v>232</v>
      </c>
      <c r="D277">
        <v>192</v>
      </c>
      <c r="E277" s="2">
        <v>6084</v>
      </c>
      <c r="F277">
        <v>177</v>
      </c>
      <c r="G277">
        <f>Table1[[#This Row],[Children apprehended and placed in CBP custody*]]-Table1[[#This Row],[Children discharged from HHS Care]]</f>
        <v>-52</v>
      </c>
    </row>
    <row r="278" spans="1:7" x14ac:dyDescent="0.25">
      <c r="A278" s="1">
        <v>45602</v>
      </c>
      <c r="B278">
        <v>156</v>
      </c>
      <c r="C278">
        <v>256</v>
      </c>
      <c r="D278">
        <v>176</v>
      </c>
      <c r="E278" s="2">
        <v>6086</v>
      </c>
      <c r="F278">
        <v>137</v>
      </c>
      <c r="G278">
        <f>Table1[[#This Row],[Children apprehended and placed in CBP custody*]]-Table1[[#This Row],[Children discharged from HHS Care]]</f>
        <v>19</v>
      </c>
    </row>
    <row r="279" spans="1:7" x14ac:dyDescent="0.25">
      <c r="A279" s="1">
        <v>45601</v>
      </c>
      <c r="B279">
        <v>109</v>
      </c>
      <c r="C279">
        <v>245</v>
      </c>
      <c r="D279">
        <v>159</v>
      </c>
      <c r="E279" s="2">
        <v>6045</v>
      </c>
      <c r="F279">
        <v>126</v>
      </c>
      <c r="G279">
        <f>Table1[[#This Row],[Children apprehended and placed in CBP custody*]]-Table1[[#This Row],[Children discharged from HHS Care]]</f>
        <v>-17</v>
      </c>
    </row>
    <row r="280" spans="1:7" x14ac:dyDescent="0.25">
      <c r="A280" s="1">
        <v>45600</v>
      </c>
      <c r="B280">
        <v>167</v>
      </c>
      <c r="C280">
        <v>209</v>
      </c>
      <c r="D280">
        <v>157</v>
      </c>
      <c r="E280" s="2">
        <v>6007</v>
      </c>
      <c r="F280">
        <v>132</v>
      </c>
      <c r="G280">
        <f>Table1[[#This Row],[Children apprehended and placed in CBP custody*]]-Table1[[#This Row],[Children discharged from HHS Care]]</f>
        <v>35</v>
      </c>
    </row>
    <row r="281" spans="1:7" x14ac:dyDescent="0.25">
      <c r="A281" s="1">
        <v>45599</v>
      </c>
      <c r="B281">
        <v>84</v>
      </c>
      <c r="C281">
        <v>171</v>
      </c>
      <c r="D281">
        <v>157</v>
      </c>
      <c r="E281" s="2">
        <v>5990</v>
      </c>
      <c r="F281">
        <v>184</v>
      </c>
      <c r="G281">
        <f>Table1[[#This Row],[Children apprehended and placed in CBP custody*]]-Table1[[#This Row],[Children discharged from HHS Care]]</f>
        <v>-100</v>
      </c>
    </row>
    <row r="282" spans="1:7" x14ac:dyDescent="0.25">
      <c r="A282" s="1">
        <v>45596</v>
      </c>
      <c r="B282">
        <v>87</v>
      </c>
      <c r="C282">
        <v>246</v>
      </c>
      <c r="D282">
        <v>173</v>
      </c>
      <c r="E282" s="2">
        <v>6148</v>
      </c>
      <c r="F282">
        <v>177</v>
      </c>
      <c r="G282">
        <f>Table1[[#This Row],[Children apprehended and placed in CBP custody*]]-Table1[[#This Row],[Children discharged from HHS Care]]</f>
        <v>-90</v>
      </c>
    </row>
    <row r="283" spans="1:7" x14ac:dyDescent="0.25">
      <c r="A283" s="1">
        <v>45595</v>
      </c>
      <c r="B283">
        <v>136</v>
      </c>
      <c r="C283">
        <v>276</v>
      </c>
      <c r="D283">
        <v>178</v>
      </c>
      <c r="E283" s="2">
        <v>6149</v>
      </c>
      <c r="F283">
        <v>160</v>
      </c>
      <c r="G283">
        <f>Table1[[#This Row],[Children apprehended and placed in CBP custody*]]-Table1[[#This Row],[Children discharged from HHS Care]]</f>
        <v>-24</v>
      </c>
    </row>
    <row r="284" spans="1:7" x14ac:dyDescent="0.25">
      <c r="A284" s="1">
        <v>45594</v>
      </c>
      <c r="B284">
        <v>166</v>
      </c>
      <c r="C284">
        <v>277</v>
      </c>
      <c r="D284">
        <v>229</v>
      </c>
      <c r="E284" s="2">
        <v>6106</v>
      </c>
      <c r="F284">
        <v>126</v>
      </c>
      <c r="G284">
        <f>Table1[[#This Row],[Children apprehended and placed in CBP custody*]]-Table1[[#This Row],[Children discharged from HHS Care]]</f>
        <v>40</v>
      </c>
    </row>
    <row r="285" spans="1:7" x14ac:dyDescent="0.25">
      <c r="A285" s="1">
        <v>45593</v>
      </c>
      <c r="B285">
        <v>110</v>
      </c>
      <c r="C285">
        <v>272</v>
      </c>
      <c r="D285">
        <v>193</v>
      </c>
      <c r="E285" s="2">
        <v>6008</v>
      </c>
      <c r="F285">
        <v>156</v>
      </c>
      <c r="G285">
        <f>Table1[[#This Row],[Children apprehended and placed in CBP custody*]]-Table1[[#This Row],[Children discharged from HHS Care]]</f>
        <v>-46</v>
      </c>
    </row>
    <row r="286" spans="1:7" x14ac:dyDescent="0.25">
      <c r="A286" s="1">
        <v>45592</v>
      </c>
      <c r="B286">
        <v>202</v>
      </c>
      <c r="C286">
        <v>313</v>
      </c>
      <c r="D286">
        <v>158</v>
      </c>
      <c r="E286" s="2">
        <v>5974</v>
      </c>
      <c r="F286">
        <v>192</v>
      </c>
      <c r="G286">
        <f>Table1[[#This Row],[Children apprehended and placed in CBP custody*]]-Table1[[#This Row],[Children discharged from HHS Care]]</f>
        <v>10</v>
      </c>
    </row>
    <row r="287" spans="1:7" x14ac:dyDescent="0.25">
      <c r="A287" s="1">
        <v>45588</v>
      </c>
      <c r="B287">
        <v>134</v>
      </c>
      <c r="C287">
        <v>294</v>
      </c>
      <c r="D287">
        <v>186</v>
      </c>
      <c r="E287" s="2">
        <v>6077</v>
      </c>
      <c r="F287">
        <v>138</v>
      </c>
      <c r="G287">
        <f>Table1[[#This Row],[Children apprehended and placed in CBP custody*]]-Table1[[#This Row],[Children discharged from HHS Care]]</f>
        <v>-4</v>
      </c>
    </row>
    <row r="288" spans="1:7" x14ac:dyDescent="0.25">
      <c r="A288" s="1">
        <v>45587</v>
      </c>
      <c r="B288">
        <v>180</v>
      </c>
      <c r="C288">
        <v>280</v>
      </c>
      <c r="D288">
        <v>146</v>
      </c>
      <c r="E288" s="2">
        <v>6043</v>
      </c>
      <c r="F288">
        <v>109</v>
      </c>
      <c r="G288">
        <f>Table1[[#This Row],[Children apprehended and placed in CBP custody*]]-Table1[[#This Row],[Children discharged from HHS Care]]</f>
        <v>71</v>
      </c>
    </row>
    <row r="289" spans="1:7" x14ac:dyDescent="0.25">
      <c r="A289" s="1">
        <v>45586</v>
      </c>
      <c r="B289">
        <v>108</v>
      </c>
      <c r="C289">
        <v>220</v>
      </c>
      <c r="D289">
        <v>213</v>
      </c>
      <c r="E289" s="2">
        <v>5966</v>
      </c>
      <c r="F289">
        <v>154</v>
      </c>
      <c r="G289">
        <f>Table1[[#This Row],[Children apprehended and placed in CBP custody*]]-Table1[[#This Row],[Children discharged from HHS Care]]</f>
        <v>-46</v>
      </c>
    </row>
    <row r="290" spans="1:7" x14ac:dyDescent="0.25">
      <c r="A290" s="1">
        <v>45585</v>
      </c>
      <c r="B290">
        <v>147</v>
      </c>
      <c r="C290">
        <v>276</v>
      </c>
      <c r="D290">
        <v>214</v>
      </c>
      <c r="E290" s="2">
        <v>5918</v>
      </c>
      <c r="F290">
        <v>195</v>
      </c>
      <c r="G290">
        <f>Table1[[#This Row],[Children apprehended and placed in CBP custody*]]-Table1[[#This Row],[Children discharged from HHS Care]]</f>
        <v>-48</v>
      </c>
    </row>
    <row r="291" spans="1:7" x14ac:dyDescent="0.25">
      <c r="A291" s="1">
        <v>45582</v>
      </c>
      <c r="B291">
        <v>104</v>
      </c>
      <c r="C291">
        <v>230</v>
      </c>
      <c r="D291">
        <v>206</v>
      </c>
      <c r="E291" s="2">
        <v>6076</v>
      </c>
      <c r="F291">
        <v>160</v>
      </c>
      <c r="G291">
        <f>Table1[[#This Row],[Children apprehended and placed in CBP custody*]]-Table1[[#This Row],[Children discharged from HHS Care]]</f>
        <v>-56</v>
      </c>
    </row>
    <row r="292" spans="1:7" x14ac:dyDescent="0.25">
      <c r="A292" s="1">
        <v>45581</v>
      </c>
      <c r="B292">
        <v>174</v>
      </c>
      <c r="C292">
        <v>285</v>
      </c>
      <c r="D292">
        <v>150</v>
      </c>
      <c r="E292" s="2">
        <v>6036</v>
      </c>
      <c r="F292">
        <v>129</v>
      </c>
      <c r="G292">
        <f>Table1[[#This Row],[Children apprehended and placed in CBP custody*]]-Table1[[#This Row],[Children discharged from HHS Care]]</f>
        <v>45</v>
      </c>
    </row>
    <row r="293" spans="1:7" x14ac:dyDescent="0.25">
      <c r="A293" s="1">
        <v>45580</v>
      </c>
      <c r="B293">
        <v>113</v>
      </c>
      <c r="C293">
        <v>208</v>
      </c>
      <c r="D293">
        <v>159</v>
      </c>
      <c r="E293" s="2">
        <v>6013</v>
      </c>
      <c r="F293">
        <v>107</v>
      </c>
      <c r="G293">
        <f>Table1[[#This Row],[Children apprehended and placed in CBP custody*]]-Table1[[#This Row],[Children discharged from HHS Care]]</f>
        <v>6</v>
      </c>
    </row>
    <row r="294" spans="1:7" x14ac:dyDescent="0.25">
      <c r="A294" s="1">
        <v>45579</v>
      </c>
      <c r="B294">
        <v>88</v>
      </c>
      <c r="C294">
        <v>214</v>
      </c>
      <c r="D294">
        <v>160</v>
      </c>
      <c r="E294" s="2">
        <v>5935</v>
      </c>
      <c r="F294">
        <v>106</v>
      </c>
      <c r="G294">
        <f>Table1[[#This Row],[Children apprehended and placed in CBP custody*]]-Table1[[#This Row],[Children discharged from HHS Care]]</f>
        <v>-18</v>
      </c>
    </row>
    <row r="295" spans="1:7" x14ac:dyDescent="0.25">
      <c r="A295" s="1">
        <v>45578</v>
      </c>
      <c r="B295">
        <v>130</v>
      </c>
      <c r="C295">
        <v>227</v>
      </c>
      <c r="D295">
        <v>192</v>
      </c>
      <c r="E295" s="2">
        <v>5889</v>
      </c>
      <c r="F295">
        <v>210</v>
      </c>
      <c r="G295">
        <f>Table1[[#This Row],[Children apprehended and placed in CBP custody*]]-Table1[[#This Row],[Children discharged from HHS Care]]</f>
        <v>-80</v>
      </c>
    </row>
    <row r="296" spans="1:7" x14ac:dyDescent="0.25">
      <c r="A296" s="1">
        <v>45575</v>
      </c>
      <c r="B296">
        <v>84</v>
      </c>
      <c r="C296">
        <v>158</v>
      </c>
      <c r="D296">
        <v>193</v>
      </c>
      <c r="E296" s="2">
        <v>6075</v>
      </c>
      <c r="F296">
        <v>159</v>
      </c>
      <c r="G296">
        <f>Table1[[#This Row],[Children apprehended and placed in CBP custody*]]-Table1[[#This Row],[Children discharged from HHS Care]]</f>
        <v>-75</v>
      </c>
    </row>
    <row r="297" spans="1:7" x14ac:dyDescent="0.25">
      <c r="A297" s="1">
        <v>45574</v>
      </c>
      <c r="B297">
        <v>115</v>
      </c>
      <c r="C297">
        <v>216</v>
      </c>
      <c r="D297">
        <v>169</v>
      </c>
      <c r="E297" s="2">
        <v>6047</v>
      </c>
      <c r="F297">
        <v>137</v>
      </c>
      <c r="G297">
        <f>Table1[[#This Row],[Children apprehended and placed in CBP custody*]]-Table1[[#This Row],[Children discharged from HHS Care]]</f>
        <v>-22</v>
      </c>
    </row>
    <row r="298" spans="1:7" x14ac:dyDescent="0.25">
      <c r="A298" s="1">
        <v>45573</v>
      </c>
      <c r="B298">
        <v>167</v>
      </c>
      <c r="C298">
        <v>239</v>
      </c>
      <c r="D298">
        <v>166</v>
      </c>
      <c r="E298" s="2">
        <v>6013</v>
      </c>
      <c r="F298">
        <v>123</v>
      </c>
      <c r="G298">
        <f>Table1[[#This Row],[Children apprehended and placed in CBP custody*]]-Table1[[#This Row],[Children discharged from HHS Care]]</f>
        <v>44</v>
      </c>
    </row>
    <row r="299" spans="1:7" x14ac:dyDescent="0.25">
      <c r="A299" s="1">
        <v>45572</v>
      </c>
      <c r="B299">
        <v>99</v>
      </c>
      <c r="C299">
        <v>190</v>
      </c>
      <c r="D299">
        <v>176</v>
      </c>
      <c r="E299" s="2">
        <v>5968</v>
      </c>
      <c r="F299">
        <v>153</v>
      </c>
      <c r="G299">
        <f>Table1[[#This Row],[Children apprehended and placed in CBP custody*]]-Table1[[#This Row],[Children discharged from HHS Care]]</f>
        <v>-54</v>
      </c>
    </row>
    <row r="300" spans="1:7" x14ac:dyDescent="0.25">
      <c r="A300" s="1">
        <v>45568</v>
      </c>
      <c r="B300">
        <v>101</v>
      </c>
      <c r="C300">
        <v>162</v>
      </c>
      <c r="D300">
        <v>178</v>
      </c>
      <c r="E300" s="2">
        <v>6118</v>
      </c>
      <c r="F300">
        <v>193</v>
      </c>
      <c r="G300">
        <f>Table1[[#This Row],[Children apprehended and placed in CBP custody*]]-Table1[[#This Row],[Children discharged from HHS Care]]</f>
        <v>-92</v>
      </c>
    </row>
    <row r="301" spans="1:7" x14ac:dyDescent="0.25">
      <c r="A301" s="1">
        <v>45567</v>
      </c>
      <c r="B301">
        <v>107</v>
      </c>
      <c r="C301">
        <v>215</v>
      </c>
      <c r="D301">
        <v>230</v>
      </c>
      <c r="E301" s="2">
        <v>6091</v>
      </c>
      <c r="F301">
        <v>173</v>
      </c>
      <c r="G301">
        <f>Table1[[#This Row],[Children apprehended and placed in CBP custody*]]-Table1[[#This Row],[Children discharged from HHS Care]]</f>
        <v>-66</v>
      </c>
    </row>
    <row r="302" spans="1:7" x14ac:dyDescent="0.25">
      <c r="A302" s="1">
        <v>45566</v>
      </c>
      <c r="B302">
        <v>184</v>
      </c>
      <c r="C302">
        <v>314</v>
      </c>
      <c r="D302">
        <v>217</v>
      </c>
      <c r="E302" s="2">
        <v>6040</v>
      </c>
      <c r="F302">
        <v>137</v>
      </c>
      <c r="G302">
        <f>Table1[[#This Row],[Children apprehended and placed in CBP custody*]]-Table1[[#This Row],[Children discharged from HHS Care]]</f>
        <v>47</v>
      </c>
    </row>
    <row r="303" spans="1:7" x14ac:dyDescent="0.25">
      <c r="A303" s="1">
        <v>45565</v>
      </c>
      <c r="B303">
        <v>209</v>
      </c>
      <c r="C303">
        <v>285</v>
      </c>
      <c r="D303">
        <v>184</v>
      </c>
      <c r="E303" s="2">
        <v>5967</v>
      </c>
      <c r="F303">
        <v>138</v>
      </c>
      <c r="G303">
        <f>Table1[[#This Row],[Children apprehended and placed in CBP custody*]]-Table1[[#This Row],[Children discharged from HHS Care]]</f>
        <v>71</v>
      </c>
    </row>
    <row r="304" spans="1:7" x14ac:dyDescent="0.25">
      <c r="A304" s="1">
        <v>45564</v>
      </c>
      <c r="B304">
        <v>81</v>
      </c>
      <c r="C304">
        <v>213</v>
      </c>
      <c r="D304">
        <v>153</v>
      </c>
      <c r="E304" s="2">
        <v>5925</v>
      </c>
      <c r="F304">
        <v>177</v>
      </c>
      <c r="G304">
        <f>Table1[[#This Row],[Children apprehended and placed in CBP custody*]]-Table1[[#This Row],[Children discharged from HHS Care]]</f>
        <v>-96</v>
      </c>
    </row>
    <row r="305" spans="1:7" x14ac:dyDescent="0.25">
      <c r="A305" s="1">
        <v>45561</v>
      </c>
      <c r="B305">
        <v>91</v>
      </c>
      <c r="C305">
        <v>199</v>
      </c>
      <c r="D305">
        <v>172</v>
      </c>
      <c r="E305" s="2">
        <v>6090</v>
      </c>
      <c r="F305">
        <v>185</v>
      </c>
      <c r="G305">
        <f>Table1[[#This Row],[Children apprehended and placed in CBP custody*]]-Table1[[#This Row],[Children discharged from HHS Care]]</f>
        <v>-94</v>
      </c>
    </row>
    <row r="306" spans="1:7" x14ac:dyDescent="0.25">
      <c r="A306" s="1">
        <v>45560</v>
      </c>
      <c r="B306">
        <v>154</v>
      </c>
      <c r="C306">
        <v>225</v>
      </c>
      <c r="D306">
        <v>220</v>
      </c>
      <c r="E306" s="2">
        <v>6050</v>
      </c>
      <c r="F306">
        <v>169</v>
      </c>
      <c r="G306">
        <f>Table1[[#This Row],[Children apprehended and placed in CBP custody*]]-Table1[[#This Row],[Children discharged from HHS Care]]</f>
        <v>-15</v>
      </c>
    </row>
    <row r="307" spans="1:7" x14ac:dyDescent="0.25">
      <c r="A307" s="1">
        <v>45559</v>
      </c>
      <c r="B307">
        <v>186</v>
      </c>
      <c r="C307">
        <v>259</v>
      </c>
      <c r="D307">
        <v>172</v>
      </c>
      <c r="E307" s="2">
        <v>6023</v>
      </c>
      <c r="F307">
        <v>143</v>
      </c>
      <c r="G307">
        <f>Table1[[#This Row],[Children apprehended and placed in CBP custody*]]-Table1[[#This Row],[Children discharged from HHS Care]]</f>
        <v>43</v>
      </c>
    </row>
    <row r="308" spans="1:7" x14ac:dyDescent="0.25">
      <c r="A308" s="1">
        <v>45558</v>
      </c>
      <c r="B308">
        <v>92</v>
      </c>
      <c r="C308">
        <v>203</v>
      </c>
      <c r="D308">
        <v>173</v>
      </c>
      <c r="E308" s="2">
        <v>6002</v>
      </c>
      <c r="F308">
        <v>165</v>
      </c>
      <c r="G308">
        <f>Table1[[#This Row],[Children apprehended and placed in CBP custody*]]-Table1[[#This Row],[Children discharged from HHS Care]]</f>
        <v>-73</v>
      </c>
    </row>
    <row r="309" spans="1:7" x14ac:dyDescent="0.25">
      <c r="A309" s="1">
        <v>45557</v>
      </c>
      <c r="B309">
        <v>124</v>
      </c>
      <c r="C309">
        <v>234</v>
      </c>
      <c r="D309">
        <v>161</v>
      </c>
      <c r="E309" s="2">
        <v>5989</v>
      </c>
      <c r="F309">
        <v>197</v>
      </c>
      <c r="G309">
        <f>Table1[[#This Row],[Children apprehended and placed in CBP custody*]]-Table1[[#This Row],[Children discharged from HHS Care]]</f>
        <v>-73</v>
      </c>
    </row>
    <row r="310" spans="1:7" x14ac:dyDescent="0.25">
      <c r="A310" s="1">
        <v>45554</v>
      </c>
      <c r="B310">
        <v>93</v>
      </c>
      <c r="C310">
        <v>196</v>
      </c>
      <c r="D310">
        <v>169</v>
      </c>
      <c r="E310" s="2">
        <v>6270</v>
      </c>
      <c r="F310">
        <v>188</v>
      </c>
      <c r="G310">
        <f>Table1[[#This Row],[Children apprehended and placed in CBP custody*]]-Table1[[#This Row],[Children discharged from HHS Care]]</f>
        <v>-95</v>
      </c>
    </row>
    <row r="311" spans="1:7" x14ac:dyDescent="0.25">
      <c r="A311" s="1">
        <v>45553</v>
      </c>
      <c r="B311">
        <v>116</v>
      </c>
      <c r="C311">
        <v>213</v>
      </c>
      <c r="D311">
        <v>217</v>
      </c>
      <c r="E311" s="2">
        <v>6245</v>
      </c>
      <c r="F311">
        <v>149</v>
      </c>
      <c r="G311">
        <f>Table1[[#This Row],[Children apprehended and placed in CBP custody*]]-Table1[[#This Row],[Children discharged from HHS Care]]</f>
        <v>-33</v>
      </c>
    </row>
    <row r="312" spans="1:7" x14ac:dyDescent="0.25">
      <c r="A312" s="1">
        <v>45552</v>
      </c>
      <c r="B312">
        <v>159</v>
      </c>
      <c r="C312">
        <v>304</v>
      </c>
      <c r="D312">
        <v>139</v>
      </c>
      <c r="E312" s="2">
        <v>6227</v>
      </c>
      <c r="F312">
        <v>160</v>
      </c>
      <c r="G312">
        <f>Table1[[#This Row],[Children apprehended and placed in CBP custody*]]-Table1[[#This Row],[Children discharged from HHS Care]]</f>
        <v>-1</v>
      </c>
    </row>
    <row r="313" spans="1:7" x14ac:dyDescent="0.25">
      <c r="A313" s="1">
        <v>45551</v>
      </c>
      <c r="B313">
        <v>113</v>
      </c>
      <c r="C313">
        <v>209</v>
      </c>
      <c r="D313">
        <v>160</v>
      </c>
      <c r="E313" s="2">
        <v>6229</v>
      </c>
      <c r="F313">
        <v>164</v>
      </c>
      <c r="G313">
        <f>Table1[[#This Row],[Children apprehended and placed in CBP custody*]]-Table1[[#This Row],[Children discharged from HHS Care]]</f>
        <v>-51</v>
      </c>
    </row>
    <row r="314" spans="1:7" x14ac:dyDescent="0.25">
      <c r="A314" s="1">
        <v>45550</v>
      </c>
      <c r="B314">
        <v>98</v>
      </c>
      <c r="C314">
        <v>220</v>
      </c>
      <c r="D314">
        <v>167</v>
      </c>
      <c r="E314" s="2">
        <v>6234</v>
      </c>
      <c r="F314">
        <v>210</v>
      </c>
      <c r="G314">
        <f>Table1[[#This Row],[Children apprehended and placed in CBP custody*]]-Table1[[#This Row],[Children discharged from HHS Care]]</f>
        <v>-112</v>
      </c>
    </row>
    <row r="315" spans="1:7" x14ac:dyDescent="0.25">
      <c r="A315" s="1">
        <v>45548</v>
      </c>
      <c r="B315">
        <v>81</v>
      </c>
      <c r="C315">
        <v>200</v>
      </c>
      <c r="D315">
        <v>212</v>
      </c>
      <c r="E315" s="2">
        <v>6326</v>
      </c>
      <c r="F315">
        <v>279</v>
      </c>
      <c r="G315">
        <f>Table1[[#This Row],[Children apprehended and placed in CBP custody*]]-Table1[[#This Row],[Children discharged from HHS Care]]</f>
        <v>-198</v>
      </c>
    </row>
    <row r="316" spans="1:7" x14ac:dyDescent="0.25">
      <c r="A316" s="1">
        <v>45547</v>
      </c>
      <c r="B316">
        <v>184</v>
      </c>
      <c r="C316">
        <v>280</v>
      </c>
      <c r="D316">
        <v>210</v>
      </c>
      <c r="E316" s="2">
        <v>6360</v>
      </c>
      <c r="F316">
        <v>220</v>
      </c>
      <c r="G316">
        <f>Table1[[#This Row],[Children apprehended and placed in CBP custody*]]-Table1[[#This Row],[Children discharged from HHS Care]]</f>
        <v>-36</v>
      </c>
    </row>
    <row r="317" spans="1:7" x14ac:dyDescent="0.25">
      <c r="A317" s="1">
        <v>45546</v>
      </c>
      <c r="B317">
        <v>93</v>
      </c>
      <c r="C317">
        <v>248</v>
      </c>
      <c r="D317">
        <v>175</v>
      </c>
      <c r="E317" s="2">
        <v>6410</v>
      </c>
      <c r="F317">
        <v>162</v>
      </c>
      <c r="G317">
        <f>Table1[[#This Row],[Children apprehended and placed in CBP custody*]]-Table1[[#This Row],[Children discharged from HHS Care]]</f>
        <v>-69</v>
      </c>
    </row>
    <row r="318" spans="1:7" x14ac:dyDescent="0.25">
      <c r="A318" s="1">
        <v>45545</v>
      </c>
      <c r="B318">
        <v>131</v>
      </c>
      <c r="C318">
        <v>251</v>
      </c>
      <c r="D318">
        <v>180</v>
      </c>
      <c r="E318" s="2">
        <v>6396</v>
      </c>
      <c r="F318">
        <v>148</v>
      </c>
      <c r="G318">
        <f>Table1[[#This Row],[Children apprehended and placed in CBP custody*]]-Table1[[#This Row],[Children discharged from HHS Care]]</f>
        <v>-17</v>
      </c>
    </row>
    <row r="319" spans="1:7" x14ac:dyDescent="0.25">
      <c r="A319" s="1">
        <v>45544</v>
      </c>
      <c r="B319">
        <v>144</v>
      </c>
      <c r="C319">
        <v>275</v>
      </c>
      <c r="D319">
        <v>190</v>
      </c>
      <c r="E319" s="2">
        <v>6353</v>
      </c>
      <c r="F319">
        <v>141</v>
      </c>
      <c r="G319">
        <f>Table1[[#This Row],[Children apprehended and placed in CBP custody*]]-Table1[[#This Row],[Children discharged from HHS Care]]</f>
        <v>3</v>
      </c>
    </row>
    <row r="320" spans="1:7" x14ac:dyDescent="0.25">
      <c r="A320" s="1">
        <v>45543</v>
      </c>
      <c r="B320">
        <v>123</v>
      </c>
      <c r="C320">
        <v>255</v>
      </c>
      <c r="D320">
        <v>164</v>
      </c>
      <c r="E320" s="2">
        <v>6312</v>
      </c>
      <c r="F320">
        <v>221</v>
      </c>
      <c r="G320">
        <f>Table1[[#This Row],[Children apprehended and placed in CBP custody*]]-Table1[[#This Row],[Children discharged from HHS Care]]</f>
        <v>-98</v>
      </c>
    </row>
    <row r="321" spans="1:7" x14ac:dyDescent="0.25">
      <c r="A321" s="1">
        <v>45540</v>
      </c>
      <c r="B321">
        <v>126</v>
      </c>
      <c r="C321">
        <v>230</v>
      </c>
      <c r="D321">
        <v>175</v>
      </c>
      <c r="E321" s="2">
        <v>6448</v>
      </c>
      <c r="F321">
        <v>121</v>
      </c>
      <c r="G321">
        <f>Table1[[#This Row],[Children apprehended and placed in CBP custody*]]-Table1[[#This Row],[Children discharged from HHS Care]]</f>
        <v>5</v>
      </c>
    </row>
    <row r="322" spans="1:7" x14ac:dyDescent="0.25">
      <c r="A322" s="1">
        <v>45539</v>
      </c>
      <c r="B322">
        <v>121</v>
      </c>
      <c r="C322">
        <v>231</v>
      </c>
      <c r="D322">
        <v>219</v>
      </c>
      <c r="E322" s="2">
        <v>6375</v>
      </c>
      <c r="F322">
        <v>114</v>
      </c>
      <c r="G322">
        <f>Table1[[#This Row],[Children apprehended and placed in CBP custody*]]-Table1[[#This Row],[Children discharged from HHS Care]]</f>
        <v>7</v>
      </c>
    </row>
    <row r="323" spans="1:7" x14ac:dyDescent="0.25">
      <c r="A323" s="1">
        <v>45538</v>
      </c>
      <c r="B323">
        <v>131</v>
      </c>
      <c r="C323">
        <v>263</v>
      </c>
      <c r="D323">
        <v>177</v>
      </c>
      <c r="E323" s="2">
        <v>6272</v>
      </c>
      <c r="F323">
        <v>112</v>
      </c>
      <c r="G323">
        <f>Table1[[#This Row],[Children apprehended and placed in CBP custody*]]-Table1[[#This Row],[Children discharged from HHS Care]]</f>
        <v>19</v>
      </c>
    </row>
    <row r="324" spans="1:7" x14ac:dyDescent="0.25">
      <c r="A324" s="1">
        <v>45537</v>
      </c>
      <c r="B324">
        <v>133</v>
      </c>
      <c r="C324">
        <v>270</v>
      </c>
      <c r="D324">
        <v>198</v>
      </c>
      <c r="E324" s="2">
        <v>6192</v>
      </c>
      <c r="F324">
        <v>129</v>
      </c>
      <c r="G324">
        <f>Table1[[#This Row],[Children apprehended and placed in CBP custody*]]-Table1[[#This Row],[Children discharged from HHS Care]]</f>
        <v>4</v>
      </c>
    </row>
    <row r="325" spans="1:7" x14ac:dyDescent="0.25">
      <c r="A325" s="1">
        <v>45533</v>
      </c>
      <c r="B325">
        <v>145</v>
      </c>
      <c r="C325">
        <v>295</v>
      </c>
      <c r="D325">
        <v>188</v>
      </c>
      <c r="E325" s="2">
        <v>6250</v>
      </c>
      <c r="F325">
        <v>169</v>
      </c>
      <c r="G325">
        <f>Table1[[#This Row],[Children apprehended and placed in CBP custody*]]-Table1[[#This Row],[Children discharged from HHS Care]]</f>
        <v>-24</v>
      </c>
    </row>
    <row r="326" spans="1:7" x14ac:dyDescent="0.25">
      <c r="A326" s="1">
        <v>45532</v>
      </c>
      <c r="B326">
        <v>170</v>
      </c>
      <c r="C326">
        <v>285</v>
      </c>
      <c r="D326">
        <v>178</v>
      </c>
      <c r="E326" s="2">
        <v>6227</v>
      </c>
      <c r="F326">
        <v>134</v>
      </c>
      <c r="G326">
        <f>Table1[[#This Row],[Children apprehended and placed in CBP custody*]]-Table1[[#This Row],[Children discharged from HHS Care]]</f>
        <v>36</v>
      </c>
    </row>
    <row r="327" spans="1:7" x14ac:dyDescent="0.25">
      <c r="A327" s="1">
        <v>45531</v>
      </c>
      <c r="B327">
        <v>149</v>
      </c>
      <c r="C327">
        <v>285</v>
      </c>
      <c r="D327">
        <v>222</v>
      </c>
      <c r="E327" s="2">
        <v>6152</v>
      </c>
      <c r="F327">
        <v>97</v>
      </c>
      <c r="G327">
        <f>Table1[[#This Row],[Children apprehended and placed in CBP custody*]]-Table1[[#This Row],[Children discharged from HHS Care]]</f>
        <v>52</v>
      </c>
    </row>
    <row r="328" spans="1:7" x14ac:dyDescent="0.25">
      <c r="A328" s="1">
        <v>45526</v>
      </c>
      <c r="B328">
        <v>182</v>
      </c>
      <c r="C328">
        <v>307</v>
      </c>
      <c r="D328">
        <v>205</v>
      </c>
      <c r="E328" s="2">
        <v>6054</v>
      </c>
      <c r="F328">
        <v>171</v>
      </c>
      <c r="G328">
        <f>Table1[[#This Row],[Children apprehended and placed in CBP custody*]]-Table1[[#This Row],[Children discharged from HHS Care]]</f>
        <v>11</v>
      </c>
    </row>
    <row r="329" spans="1:7" x14ac:dyDescent="0.25">
      <c r="A329" s="1">
        <v>45525</v>
      </c>
      <c r="B329">
        <v>134</v>
      </c>
      <c r="C329">
        <v>245</v>
      </c>
      <c r="D329">
        <v>167</v>
      </c>
      <c r="E329" s="2">
        <v>6028</v>
      </c>
      <c r="F329">
        <v>156</v>
      </c>
      <c r="G329">
        <f>Table1[[#This Row],[Children apprehended and placed in CBP custody*]]-Table1[[#This Row],[Children discharged from HHS Care]]</f>
        <v>-22</v>
      </c>
    </row>
    <row r="330" spans="1:7" x14ac:dyDescent="0.25">
      <c r="A330" s="1">
        <v>45524</v>
      </c>
      <c r="B330">
        <v>136</v>
      </c>
      <c r="C330">
        <v>274</v>
      </c>
      <c r="D330">
        <v>245</v>
      </c>
      <c r="E330" s="2">
        <v>5995</v>
      </c>
      <c r="F330">
        <v>112</v>
      </c>
      <c r="G330">
        <f>Table1[[#This Row],[Children apprehended and placed in CBP custody*]]-Table1[[#This Row],[Children discharged from HHS Care]]</f>
        <v>24</v>
      </c>
    </row>
    <row r="331" spans="1:7" x14ac:dyDescent="0.25">
      <c r="A331" s="1">
        <v>45523</v>
      </c>
      <c r="B331">
        <v>176</v>
      </c>
      <c r="C331">
        <v>254</v>
      </c>
      <c r="D331">
        <v>162</v>
      </c>
      <c r="E331" s="2">
        <v>5865</v>
      </c>
      <c r="F331">
        <v>158</v>
      </c>
      <c r="G331">
        <f>Table1[[#This Row],[Children apprehended and placed in CBP custody*]]-Table1[[#This Row],[Children discharged from HHS Care]]</f>
        <v>18</v>
      </c>
    </row>
    <row r="332" spans="1:7" x14ac:dyDescent="0.25">
      <c r="A332" s="1">
        <v>45522</v>
      </c>
      <c r="B332">
        <v>86</v>
      </c>
      <c r="C332">
        <v>244</v>
      </c>
      <c r="D332">
        <v>235</v>
      </c>
      <c r="E332" s="2">
        <v>5821</v>
      </c>
      <c r="F332">
        <v>178</v>
      </c>
      <c r="G332">
        <f>Table1[[#This Row],[Children apprehended and placed in CBP custody*]]-Table1[[#This Row],[Children discharged from HHS Care]]</f>
        <v>-92</v>
      </c>
    </row>
    <row r="333" spans="1:7" x14ac:dyDescent="0.25">
      <c r="A333" s="1">
        <v>45519</v>
      </c>
      <c r="B333">
        <v>124</v>
      </c>
      <c r="C333">
        <v>241</v>
      </c>
      <c r="D333">
        <v>156</v>
      </c>
      <c r="E333" s="2">
        <v>5895</v>
      </c>
      <c r="F333">
        <v>220</v>
      </c>
      <c r="G333">
        <f>Table1[[#This Row],[Children apprehended and placed in CBP custody*]]-Table1[[#This Row],[Children discharged from HHS Care]]</f>
        <v>-96</v>
      </c>
    </row>
    <row r="334" spans="1:7" x14ac:dyDescent="0.25">
      <c r="A334" s="1">
        <v>45518</v>
      </c>
      <c r="B334">
        <v>109</v>
      </c>
      <c r="C334">
        <v>226</v>
      </c>
      <c r="D334">
        <v>191</v>
      </c>
      <c r="E334" s="2">
        <v>5987</v>
      </c>
      <c r="F334">
        <v>178</v>
      </c>
      <c r="G334">
        <f>Table1[[#This Row],[Children apprehended and placed in CBP custody*]]-Table1[[#This Row],[Children discharged from HHS Care]]</f>
        <v>-69</v>
      </c>
    </row>
    <row r="335" spans="1:7" x14ac:dyDescent="0.25">
      <c r="A335" s="1">
        <v>45517</v>
      </c>
      <c r="B335">
        <v>162</v>
      </c>
      <c r="C335">
        <v>239</v>
      </c>
      <c r="D335">
        <v>189</v>
      </c>
      <c r="E335" s="2">
        <v>5981</v>
      </c>
      <c r="F335">
        <v>123</v>
      </c>
      <c r="G335">
        <f>Table1[[#This Row],[Children apprehended and placed in CBP custody*]]-Table1[[#This Row],[Children discharged from HHS Care]]</f>
        <v>39</v>
      </c>
    </row>
    <row r="336" spans="1:7" x14ac:dyDescent="0.25">
      <c r="A336" s="1">
        <v>45516</v>
      </c>
      <c r="B336">
        <v>109</v>
      </c>
      <c r="C336">
        <v>219</v>
      </c>
      <c r="D336">
        <v>155</v>
      </c>
      <c r="E336" s="2">
        <v>5903</v>
      </c>
      <c r="F336">
        <v>148</v>
      </c>
      <c r="G336">
        <f>Table1[[#This Row],[Children apprehended and placed in CBP custody*]]-Table1[[#This Row],[Children discharged from HHS Care]]</f>
        <v>-39</v>
      </c>
    </row>
    <row r="337" spans="1:7" x14ac:dyDescent="0.25">
      <c r="A337" s="1">
        <v>45515</v>
      </c>
      <c r="B337">
        <v>95</v>
      </c>
      <c r="C337">
        <v>211</v>
      </c>
      <c r="D337">
        <v>140</v>
      </c>
      <c r="E337" s="2">
        <v>5894</v>
      </c>
      <c r="F337">
        <v>249</v>
      </c>
      <c r="G337">
        <f>Table1[[#This Row],[Children apprehended and placed in CBP custody*]]-Table1[[#This Row],[Children discharged from HHS Care]]</f>
        <v>-154</v>
      </c>
    </row>
    <row r="338" spans="1:7" x14ac:dyDescent="0.25">
      <c r="A338" s="1">
        <v>45512</v>
      </c>
      <c r="B338">
        <v>119</v>
      </c>
      <c r="C338">
        <v>230</v>
      </c>
      <c r="D338">
        <v>213</v>
      </c>
      <c r="E338" s="2">
        <v>6084</v>
      </c>
      <c r="F338">
        <v>174</v>
      </c>
      <c r="G338">
        <f>Table1[[#This Row],[Children apprehended and placed in CBP custody*]]-Table1[[#This Row],[Children discharged from HHS Care]]</f>
        <v>-55</v>
      </c>
    </row>
    <row r="339" spans="1:7" x14ac:dyDescent="0.25">
      <c r="A339" s="1">
        <v>45511</v>
      </c>
      <c r="B339">
        <v>135</v>
      </c>
      <c r="C339">
        <v>273</v>
      </c>
      <c r="D339">
        <v>207</v>
      </c>
      <c r="E339" s="2">
        <v>6038</v>
      </c>
      <c r="F339">
        <v>174</v>
      </c>
      <c r="G339">
        <f>Table1[[#This Row],[Children apprehended and placed in CBP custody*]]-Table1[[#This Row],[Children discharged from HHS Care]]</f>
        <v>-39</v>
      </c>
    </row>
    <row r="340" spans="1:7" x14ac:dyDescent="0.25">
      <c r="A340" s="1">
        <v>45510</v>
      </c>
      <c r="B340">
        <v>163</v>
      </c>
      <c r="C340">
        <v>283</v>
      </c>
      <c r="D340">
        <v>200</v>
      </c>
      <c r="E340" s="2">
        <v>5998</v>
      </c>
      <c r="F340">
        <v>143</v>
      </c>
      <c r="G340">
        <f>Table1[[#This Row],[Children apprehended and placed in CBP custody*]]-Table1[[#This Row],[Children discharged from HHS Care]]</f>
        <v>20</v>
      </c>
    </row>
    <row r="341" spans="1:7" x14ac:dyDescent="0.25">
      <c r="A341" s="1">
        <v>45509</v>
      </c>
      <c r="B341">
        <v>172</v>
      </c>
      <c r="C341">
        <v>259</v>
      </c>
      <c r="D341">
        <v>138</v>
      </c>
      <c r="E341" s="2">
        <v>5950</v>
      </c>
      <c r="F341">
        <v>150</v>
      </c>
      <c r="G341">
        <f>Table1[[#This Row],[Children apprehended and placed in CBP custody*]]-Table1[[#This Row],[Children discharged from HHS Care]]</f>
        <v>22</v>
      </c>
    </row>
    <row r="342" spans="1:7" x14ac:dyDescent="0.25">
      <c r="A342" s="1">
        <v>45508</v>
      </c>
      <c r="B342">
        <v>63</v>
      </c>
      <c r="C342">
        <v>167</v>
      </c>
      <c r="D342">
        <v>143</v>
      </c>
      <c r="E342" s="2">
        <v>5943</v>
      </c>
      <c r="F342">
        <v>170</v>
      </c>
      <c r="G342">
        <f>Table1[[#This Row],[Children apprehended and placed in CBP custody*]]-Table1[[#This Row],[Children discharged from HHS Care]]</f>
        <v>-107</v>
      </c>
    </row>
    <row r="343" spans="1:7" x14ac:dyDescent="0.25">
      <c r="A343" s="1">
        <v>45505</v>
      </c>
      <c r="B343">
        <v>227</v>
      </c>
      <c r="C343">
        <v>298</v>
      </c>
      <c r="D343">
        <v>212</v>
      </c>
      <c r="E343" s="2">
        <v>6016</v>
      </c>
      <c r="F343">
        <v>169</v>
      </c>
      <c r="G343">
        <f>Table1[[#This Row],[Children apprehended and placed in CBP custody*]]-Table1[[#This Row],[Children discharged from HHS Care]]</f>
        <v>58</v>
      </c>
    </row>
    <row r="344" spans="1:7" x14ac:dyDescent="0.25">
      <c r="A344" s="1">
        <v>45504</v>
      </c>
      <c r="B344">
        <v>140</v>
      </c>
      <c r="C344">
        <v>261</v>
      </c>
      <c r="D344">
        <v>163</v>
      </c>
      <c r="E344" s="2">
        <v>5963</v>
      </c>
      <c r="F344">
        <v>154</v>
      </c>
      <c r="G344">
        <f>Table1[[#This Row],[Children apprehended and placed in CBP custody*]]-Table1[[#This Row],[Children discharged from HHS Care]]</f>
        <v>-14</v>
      </c>
    </row>
    <row r="345" spans="1:7" x14ac:dyDescent="0.25">
      <c r="A345" s="1">
        <v>45503</v>
      </c>
      <c r="B345">
        <v>125</v>
      </c>
      <c r="C345">
        <v>203</v>
      </c>
      <c r="D345">
        <v>208</v>
      </c>
      <c r="E345" s="2">
        <v>5930</v>
      </c>
      <c r="F345">
        <v>92</v>
      </c>
      <c r="G345">
        <f>Table1[[#This Row],[Children apprehended and placed in CBP custody*]]-Table1[[#This Row],[Children discharged from HHS Care]]</f>
        <v>33</v>
      </c>
    </row>
    <row r="346" spans="1:7" x14ac:dyDescent="0.25">
      <c r="A346" s="1">
        <v>45502</v>
      </c>
      <c r="B346">
        <v>114</v>
      </c>
      <c r="C346">
        <v>210</v>
      </c>
      <c r="D346">
        <v>219</v>
      </c>
      <c r="E346" s="2">
        <v>5819</v>
      </c>
      <c r="F346">
        <v>163</v>
      </c>
      <c r="G346">
        <f>Table1[[#This Row],[Children apprehended and placed in CBP custody*]]-Table1[[#This Row],[Children discharged from HHS Care]]</f>
        <v>-49</v>
      </c>
    </row>
    <row r="347" spans="1:7" x14ac:dyDescent="0.25">
      <c r="A347" s="1">
        <v>45501</v>
      </c>
      <c r="B347">
        <v>152</v>
      </c>
      <c r="C347">
        <v>290</v>
      </c>
      <c r="D347">
        <v>199</v>
      </c>
      <c r="E347" s="2">
        <v>5743</v>
      </c>
      <c r="F347">
        <v>207</v>
      </c>
      <c r="G347">
        <f>Table1[[#This Row],[Children apprehended and placed in CBP custody*]]-Table1[[#This Row],[Children discharged from HHS Care]]</f>
        <v>-55</v>
      </c>
    </row>
    <row r="348" spans="1:7" x14ac:dyDescent="0.25">
      <c r="A348" s="1">
        <v>45498</v>
      </c>
      <c r="B348">
        <v>93</v>
      </c>
      <c r="C348">
        <v>198</v>
      </c>
      <c r="D348">
        <v>208</v>
      </c>
      <c r="E348" s="2">
        <v>5954</v>
      </c>
      <c r="F348">
        <v>194</v>
      </c>
      <c r="G348">
        <f>Table1[[#This Row],[Children apprehended and placed in CBP custody*]]-Table1[[#This Row],[Children discharged from HHS Care]]</f>
        <v>-101</v>
      </c>
    </row>
    <row r="349" spans="1:7" x14ac:dyDescent="0.25">
      <c r="A349" s="1">
        <v>45497</v>
      </c>
      <c r="B349">
        <v>137</v>
      </c>
      <c r="C349">
        <v>272</v>
      </c>
      <c r="D349">
        <v>166</v>
      </c>
      <c r="E349" s="2">
        <v>5927</v>
      </c>
      <c r="F349">
        <v>177</v>
      </c>
      <c r="G349">
        <f>Table1[[#This Row],[Children apprehended and placed in CBP custody*]]-Table1[[#This Row],[Children discharged from HHS Care]]</f>
        <v>-40</v>
      </c>
    </row>
    <row r="350" spans="1:7" x14ac:dyDescent="0.25">
      <c r="A350" s="1">
        <v>45496</v>
      </c>
      <c r="B350">
        <v>120</v>
      </c>
      <c r="C350">
        <v>257</v>
      </c>
      <c r="D350">
        <v>126</v>
      </c>
      <c r="E350" s="2">
        <v>5965</v>
      </c>
      <c r="F350">
        <v>170</v>
      </c>
      <c r="G350">
        <f>Table1[[#This Row],[Children apprehended and placed in CBP custody*]]-Table1[[#This Row],[Children discharged from HHS Care]]</f>
        <v>-50</v>
      </c>
    </row>
    <row r="351" spans="1:7" x14ac:dyDescent="0.25">
      <c r="A351" s="1">
        <v>45495</v>
      </c>
      <c r="B351">
        <v>102</v>
      </c>
      <c r="C351">
        <v>189</v>
      </c>
      <c r="D351">
        <v>155</v>
      </c>
      <c r="E351" s="2">
        <v>6002</v>
      </c>
      <c r="F351">
        <v>234</v>
      </c>
      <c r="G351">
        <f>Table1[[#This Row],[Children apprehended and placed in CBP custody*]]-Table1[[#This Row],[Children discharged from HHS Care]]</f>
        <v>-132</v>
      </c>
    </row>
    <row r="352" spans="1:7" x14ac:dyDescent="0.25">
      <c r="A352" s="1">
        <v>45494</v>
      </c>
      <c r="B352">
        <v>90</v>
      </c>
      <c r="C352">
        <v>196</v>
      </c>
      <c r="D352">
        <v>205</v>
      </c>
      <c r="E352" s="2">
        <v>6058</v>
      </c>
      <c r="F352">
        <v>262</v>
      </c>
      <c r="G352">
        <f>Table1[[#This Row],[Children apprehended and placed in CBP custody*]]-Table1[[#This Row],[Children discharged from HHS Care]]</f>
        <v>-172</v>
      </c>
    </row>
    <row r="353" spans="1:7" x14ac:dyDescent="0.25">
      <c r="A353" s="1">
        <v>45490</v>
      </c>
      <c r="B353">
        <v>128</v>
      </c>
      <c r="C353">
        <v>228</v>
      </c>
      <c r="D353">
        <v>177</v>
      </c>
      <c r="E353" s="2">
        <v>6228</v>
      </c>
      <c r="F353">
        <v>187</v>
      </c>
      <c r="G353">
        <f>Table1[[#This Row],[Children apprehended and placed in CBP custody*]]-Table1[[#This Row],[Children discharged from HHS Care]]</f>
        <v>-59</v>
      </c>
    </row>
    <row r="354" spans="1:7" x14ac:dyDescent="0.25">
      <c r="A354" s="1">
        <v>45489</v>
      </c>
      <c r="B354">
        <v>136</v>
      </c>
      <c r="C354">
        <v>246</v>
      </c>
      <c r="D354">
        <v>123</v>
      </c>
      <c r="E354" s="2">
        <v>6239</v>
      </c>
      <c r="F354">
        <v>173</v>
      </c>
      <c r="G354">
        <f>Table1[[#This Row],[Children apprehended and placed in CBP custody*]]-Table1[[#This Row],[Children discharged from HHS Care]]</f>
        <v>-37</v>
      </c>
    </row>
    <row r="355" spans="1:7" x14ac:dyDescent="0.25">
      <c r="A355" s="1">
        <v>45488</v>
      </c>
      <c r="B355">
        <v>105</v>
      </c>
      <c r="C355">
        <v>185</v>
      </c>
      <c r="D355">
        <v>158</v>
      </c>
      <c r="E355" s="2">
        <v>6283</v>
      </c>
      <c r="F355">
        <v>171</v>
      </c>
      <c r="G355">
        <f>Table1[[#This Row],[Children apprehended and placed in CBP custody*]]-Table1[[#This Row],[Children discharged from HHS Care]]</f>
        <v>-66</v>
      </c>
    </row>
    <row r="356" spans="1:7" x14ac:dyDescent="0.25">
      <c r="A356" s="1">
        <v>45487</v>
      </c>
      <c r="B356">
        <v>116</v>
      </c>
      <c r="C356">
        <v>188</v>
      </c>
      <c r="D356">
        <v>164</v>
      </c>
      <c r="E356" s="2">
        <v>6308</v>
      </c>
      <c r="F356">
        <v>237</v>
      </c>
      <c r="G356">
        <f>Table1[[#This Row],[Children apprehended and placed in CBP custody*]]-Table1[[#This Row],[Children discharged from HHS Care]]</f>
        <v>-121</v>
      </c>
    </row>
    <row r="357" spans="1:7" x14ac:dyDescent="0.25">
      <c r="A357" s="1">
        <v>45484</v>
      </c>
      <c r="B357">
        <v>80</v>
      </c>
      <c r="C357">
        <v>176</v>
      </c>
      <c r="D357">
        <v>125</v>
      </c>
      <c r="E357" s="2">
        <v>6640</v>
      </c>
      <c r="F357">
        <v>197</v>
      </c>
      <c r="G357">
        <f>Table1[[#This Row],[Children apprehended and placed in CBP custody*]]-Table1[[#This Row],[Children discharged from HHS Care]]</f>
        <v>-117</v>
      </c>
    </row>
    <row r="358" spans="1:7" x14ac:dyDescent="0.25">
      <c r="A358" s="1">
        <v>45483</v>
      </c>
      <c r="B358">
        <v>150</v>
      </c>
      <c r="C358">
        <v>157</v>
      </c>
      <c r="D358">
        <v>201</v>
      </c>
      <c r="E358" s="2">
        <v>6649</v>
      </c>
      <c r="F358">
        <v>177</v>
      </c>
      <c r="G358">
        <f>Table1[[#This Row],[Children apprehended and placed in CBP custody*]]-Table1[[#This Row],[Children discharged from HHS Care]]</f>
        <v>-27</v>
      </c>
    </row>
    <row r="359" spans="1:7" x14ac:dyDescent="0.25">
      <c r="A359" s="1">
        <v>45482</v>
      </c>
      <c r="B359">
        <v>116</v>
      </c>
      <c r="C359">
        <v>181</v>
      </c>
      <c r="D359">
        <v>182</v>
      </c>
      <c r="E359" s="2">
        <v>6651</v>
      </c>
      <c r="F359">
        <v>130</v>
      </c>
      <c r="G359">
        <f>Table1[[#This Row],[Children apprehended and placed in CBP custody*]]-Table1[[#This Row],[Children discharged from HHS Care]]</f>
        <v>-14</v>
      </c>
    </row>
    <row r="360" spans="1:7" x14ac:dyDescent="0.25">
      <c r="A360" s="1">
        <v>45481</v>
      </c>
      <c r="B360">
        <v>141</v>
      </c>
      <c r="C360">
        <v>173</v>
      </c>
      <c r="D360">
        <v>129</v>
      </c>
      <c r="E360" s="2">
        <v>6617</v>
      </c>
      <c r="F360">
        <v>123</v>
      </c>
      <c r="G360">
        <f>Table1[[#This Row],[Children apprehended and placed in CBP custody*]]-Table1[[#This Row],[Children discharged from HHS Care]]</f>
        <v>18</v>
      </c>
    </row>
    <row r="361" spans="1:7" x14ac:dyDescent="0.25">
      <c r="A361" s="1">
        <v>45480</v>
      </c>
      <c r="B361">
        <v>96</v>
      </c>
      <c r="C361">
        <v>160</v>
      </c>
      <c r="D361">
        <v>233</v>
      </c>
      <c r="E361" s="2">
        <v>6599</v>
      </c>
      <c r="F361">
        <v>213</v>
      </c>
      <c r="G361">
        <f>Table1[[#This Row],[Children apprehended and placed in CBP custody*]]-Table1[[#This Row],[Children discharged from HHS Care]]</f>
        <v>-117</v>
      </c>
    </row>
    <row r="362" spans="1:7" x14ac:dyDescent="0.25">
      <c r="A362" s="1">
        <v>45477</v>
      </c>
      <c r="B362">
        <v>158</v>
      </c>
      <c r="C362">
        <v>226</v>
      </c>
      <c r="D362">
        <v>191</v>
      </c>
      <c r="E362" s="2">
        <v>6790</v>
      </c>
      <c r="F362">
        <v>225</v>
      </c>
      <c r="G362">
        <f>Table1[[#This Row],[Children apprehended and placed in CBP custody*]]-Table1[[#This Row],[Children discharged from HHS Care]]</f>
        <v>-67</v>
      </c>
    </row>
    <row r="363" spans="1:7" x14ac:dyDescent="0.25">
      <c r="A363" s="1">
        <v>45475</v>
      </c>
      <c r="B363">
        <v>141</v>
      </c>
      <c r="C363">
        <v>232</v>
      </c>
      <c r="D363">
        <v>188</v>
      </c>
      <c r="E363" s="2">
        <v>6823</v>
      </c>
      <c r="F363">
        <v>184</v>
      </c>
      <c r="G363">
        <f>Table1[[#This Row],[Children apprehended and placed in CBP custody*]]-Table1[[#This Row],[Children discharged from HHS Care]]</f>
        <v>-43</v>
      </c>
    </row>
    <row r="364" spans="1:7" x14ac:dyDescent="0.25">
      <c r="A364" s="1">
        <v>45474</v>
      </c>
      <c r="B364">
        <v>123</v>
      </c>
      <c r="C364">
        <v>233</v>
      </c>
      <c r="D364">
        <v>159</v>
      </c>
      <c r="E364" s="2">
        <v>6825</v>
      </c>
      <c r="F364">
        <v>229</v>
      </c>
      <c r="G364">
        <f>Table1[[#This Row],[Children apprehended and placed in CBP custody*]]-Table1[[#This Row],[Children discharged from HHS Care]]</f>
        <v>-106</v>
      </c>
    </row>
    <row r="365" spans="1:7" x14ac:dyDescent="0.25">
      <c r="A365" s="1">
        <v>45473</v>
      </c>
      <c r="B365">
        <v>123</v>
      </c>
      <c r="C365">
        <v>230</v>
      </c>
      <c r="D365">
        <v>167</v>
      </c>
      <c r="E365" s="2">
        <v>6874</v>
      </c>
      <c r="F365">
        <v>273</v>
      </c>
      <c r="G365">
        <f>Table1[[#This Row],[Children apprehended and placed in CBP custody*]]-Table1[[#This Row],[Children discharged from HHS Care]]</f>
        <v>-150</v>
      </c>
    </row>
    <row r="366" spans="1:7" x14ac:dyDescent="0.25">
      <c r="A366" s="1">
        <v>45470</v>
      </c>
      <c r="B366">
        <v>174</v>
      </c>
      <c r="C366">
        <v>208</v>
      </c>
      <c r="D366">
        <v>256</v>
      </c>
      <c r="E366" s="2">
        <v>7248</v>
      </c>
      <c r="F366">
        <v>268</v>
      </c>
      <c r="G366">
        <f>Table1[[#This Row],[Children apprehended and placed in CBP custody*]]-Table1[[#This Row],[Children discharged from HHS Care]]</f>
        <v>-94</v>
      </c>
    </row>
    <row r="367" spans="1:7" x14ac:dyDescent="0.25">
      <c r="A367" s="1">
        <v>45469</v>
      </c>
      <c r="B367">
        <v>132</v>
      </c>
      <c r="C367">
        <v>235</v>
      </c>
      <c r="D367">
        <v>197</v>
      </c>
      <c r="E367" s="2">
        <v>7268</v>
      </c>
      <c r="F367">
        <v>187</v>
      </c>
      <c r="G367">
        <f>Table1[[#This Row],[Children apprehended and placed in CBP custody*]]-Table1[[#This Row],[Children discharged from HHS Care]]</f>
        <v>-55</v>
      </c>
    </row>
    <row r="368" spans="1:7" x14ac:dyDescent="0.25">
      <c r="A368" s="1">
        <v>45468</v>
      </c>
      <c r="B368">
        <v>172</v>
      </c>
      <c r="C368">
        <v>263</v>
      </c>
      <c r="D368">
        <v>191</v>
      </c>
      <c r="E368" s="2">
        <v>7239</v>
      </c>
      <c r="F368">
        <v>202</v>
      </c>
      <c r="G368">
        <f>Table1[[#This Row],[Children apprehended and placed in CBP custody*]]-Table1[[#This Row],[Children discharged from HHS Care]]</f>
        <v>-30</v>
      </c>
    </row>
    <row r="369" spans="1:7" x14ac:dyDescent="0.25">
      <c r="A369" s="1">
        <v>45467</v>
      </c>
      <c r="B369">
        <v>116</v>
      </c>
      <c r="C369">
        <v>175</v>
      </c>
      <c r="D369">
        <v>172</v>
      </c>
      <c r="E369" s="2">
        <v>7239</v>
      </c>
      <c r="F369">
        <v>202</v>
      </c>
      <c r="G369">
        <f>Table1[[#This Row],[Children apprehended and placed in CBP custody*]]-Table1[[#This Row],[Children discharged from HHS Care]]</f>
        <v>-86</v>
      </c>
    </row>
    <row r="370" spans="1:7" x14ac:dyDescent="0.25">
      <c r="A370" s="1">
        <v>45466</v>
      </c>
      <c r="B370">
        <v>102</v>
      </c>
      <c r="C370">
        <v>227</v>
      </c>
      <c r="D370">
        <v>201</v>
      </c>
      <c r="E370" s="2">
        <v>7247</v>
      </c>
      <c r="F370">
        <v>294</v>
      </c>
      <c r="G370">
        <f>Table1[[#This Row],[Children apprehended and placed in CBP custody*]]-Table1[[#This Row],[Children discharged from HHS Care]]</f>
        <v>-192</v>
      </c>
    </row>
    <row r="371" spans="1:7" x14ac:dyDescent="0.25">
      <c r="A371" s="1">
        <v>45463</v>
      </c>
      <c r="B371">
        <v>145</v>
      </c>
      <c r="C371">
        <v>247</v>
      </c>
      <c r="D371">
        <v>243</v>
      </c>
      <c r="E371" s="2">
        <v>7431</v>
      </c>
      <c r="F371">
        <v>235</v>
      </c>
      <c r="G371">
        <f>Table1[[#This Row],[Children apprehended and placed in CBP custody*]]-Table1[[#This Row],[Children discharged from HHS Care]]</f>
        <v>-90</v>
      </c>
    </row>
    <row r="372" spans="1:7" x14ac:dyDescent="0.25">
      <c r="A372" s="1">
        <v>45462</v>
      </c>
      <c r="B372">
        <v>204</v>
      </c>
      <c r="C372">
        <v>321</v>
      </c>
      <c r="D372">
        <v>246</v>
      </c>
      <c r="E372" s="2">
        <v>7433</v>
      </c>
      <c r="F372">
        <v>198</v>
      </c>
      <c r="G372">
        <f>Table1[[#This Row],[Children apprehended and placed in CBP custody*]]-Table1[[#This Row],[Children discharged from HHS Care]]</f>
        <v>6</v>
      </c>
    </row>
    <row r="373" spans="1:7" x14ac:dyDescent="0.25">
      <c r="A373" s="1">
        <v>45461</v>
      </c>
      <c r="B373">
        <v>160</v>
      </c>
      <c r="C373">
        <v>297</v>
      </c>
      <c r="D373">
        <v>253</v>
      </c>
      <c r="E373" s="2">
        <v>7340</v>
      </c>
      <c r="F373">
        <v>214</v>
      </c>
      <c r="G373">
        <f>Table1[[#This Row],[Children apprehended and placed in CBP custody*]]-Table1[[#This Row],[Children discharged from HHS Care]]</f>
        <v>-54</v>
      </c>
    </row>
    <row r="374" spans="1:7" x14ac:dyDescent="0.25">
      <c r="A374" s="1">
        <v>45460</v>
      </c>
      <c r="B374">
        <v>159</v>
      </c>
      <c r="C374">
        <v>310</v>
      </c>
      <c r="D374">
        <v>272</v>
      </c>
      <c r="E374" s="2">
        <v>7318</v>
      </c>
      <c r="F374">
        <v>224</v>
      </c>
      <c r="G374">
        <f>Table1[[#This Row],[Children apprehended and placed in CBP custody*]]-Table1[[#This Row],[Children discharged from HHS Care]]</f>
        <v>-65</v>
      </c>
    </row>
    <row r="375" spans="1:7" x14ac:dyDescent="0.25">
      <c r="A375" s="1">
        <v>45459</v>
      </c>
      <c r="B375">
        <v>204</v>
      </c>
      <c r="C375">
        <v>315</v>
      </c>
      <c r="D375">
        <v>233</v>
      </c>
      <c r="E375" s="2">
        <v>7307</v>
      </c>
      <c r="F375">
        <v>294</v>
      </c>
      <c r="G375">
        <f>Table1[[#This Row],[Children apprehended and placed in CBP custody*]]-Table1[[#This Row],[Children discharged from HHS Care]]</f>
        <v>-90</v>
      </c>
    </row>
    <row r="376" spans="1:7" x14ac:dyDescent="0.25">
      <c r="A376" s="1">
        <v>45456</v>
      </c>
      <c r="B376">
        <v>167</v>
      </c>
      <c r="C376">
        <v>293</v>
      </c>
      <c r="D376">
        <v>230</v>
      </c>
      <c r="E376" s="2">
        <v>7544</v>
      </c>
      <c r="F376">
        <v>259</v>
      </c>
      <c r="G376">
        <f>Table1[[#This Row],[Children apprehended and placed in CBP custody*]]-Table1[[#This Row],[Children discharged from HHS Care]]</f>
        <v>-92</v>
      </c>
    </row>
    <row r="377" spans="1:7" x14ac:dyDescent="0.25">
      <c r="A377" s="1">
        <v>45455</v>
      </c>
      <c r="B377">
        <v>152</v>
      </c>
      <c r="C377">
        <v>266</v>
      </c>
      <c r="D377">
        <v>274</v>
      </c>
      <c r="E377" s="2">
        <v>7548</v>
      </c>
      <c r="F377">
        <v>212</v>
      </c>
      <c r="G377">
        <f>Table1[[#This Row],[Children apprehended and placed in CBP custody*]]-Table1[[#This Row],[Children discharged from HHS Care]]</f>
        <v>-60</v>
      </c>
    </row>
    <row r="378" spans="1:7" x14ac:dyDescent="0.25">
      <c r="A378" s="1">
        <v>45454</v>
      </c>
      <c r="B378">
        <v>186</v>
      </c>
      <c r="C378">
        <v>352</v>
      </c>
      <c r="D378">
        <v>224</v>
      </c>
      <c r="E378" s="2">
        <v>7493</v>
      </c>
      <c r="F378">
        <v>156</v>
      </c>
      <c r="G378">
        <f>Table1[[#This Row],[Children apprehended and placed in CBP custody*]]-Table1[[#This Row],[Children discharged from HHS Care]]</f>
        <v>30</v>
      </c>
    </row>
    <row r="379" spans="1:7" x14ac:dyDescent="0.25">
      <c r="A379" s="1">
        <v>45453</v>
      </c>
      <c r="B379">
        <v>184</v>
      </c>
      <c r="C379">
        <v>334</v>
      </c>
      <c r="D379">
        <v>229</v>
      </c>
      <c r="E379" s="2">
        <v>7439</v>
      </c>
      <c r="F379">
        <v>212</v>
      </c>
      <c r="G379">
        <f>Table1[[#This Row],[Children apprehended and placed in CBP custody*]]-Table1[[#This Row],[Children discharged from HHS Care]]</f>
        <v>-28</v>
      </c>
    </row>
    <row r="380" spans="1:7" x14ac:dyDescent="0.25">
      <c r="A380" s="1">
        <v>45452</v>
      </c>
      <c r="B380">
        <v>116</v>
      </c>
      <c r="C380">
        <v>289</v>
      </c>
      <c r="D380">
        <v>166</v>
      </c>
      <c r="E380" s="2">
        <v>7451</v>
      </c>
      <c r="F380">
        <v>312</v>
      </c>
      <c r="G380">
        <f>Table1[[#This Row],[Children apprehended and placed in CBP custody*]]-Table1[[#This Row],[Children discharged from HHS Care]]</f>
        <v>-196</v>
      </c>
    </row>
    <row r="381" spans="1:7" x14ac:dyDescent="0.25">
      <c r="A381" s="1">
        <v>45449</v>
      </c>
      <c r="B381">
        <v>179</v>
      </c>
      <c r="C381">
        <v>326</v>
      </c>
      <c r="D381">
        <v>282</v>
      </c>
      <c r="E381" s="2">
        <v>7741</v>
      </c>
      <c r="F381">
        <v>238</v>
      </c>
      <c r="G381">
        <f>Table1[[#This Row],[Children apprehended and placed in CBP custody*]]-Table1[[#This Row],[Children discharged from HHS Care]]</f>
        <v>-59</v>
      </c>
    </row>
    <row r="382" spans="1:7" x14ac:dyDescent="0.25">
      <c r="A382" s="1">
        <v>45448</v>
      </c>
      <c r="B382">
        <v>173</v>
      </c>
      <c r="C382">
        <v>345</v>
      </c>
      <c r="D382">
        <v>291</v>
      </c>
      <c r="E382" s="2">
        <v>7691</v>
      </c>
      <c r="F382">
        <v>198</v>
      </c>
      <c r="G382">
        <f>Table1[[#This Row],[Children apprehended and placed in CBP custody*]]-Table1[[#This Row],[Children discharged from HHS Care]]</f>
        <v>-25</v>
      </c>
    </row>
    <row r="383" spans="1:7" x14ac:dyDescent="0.25">
      <c r="A383" s="1">
        <v>45447</v>
      </c>
      <c r="B383">
        <v>260</v>
      </c>
      <c r="C383">
        <v>356</v>
      </c>
      <c r="D383">
        <v>176</v>
      </c>
      <c r="E383" s="2">
        <v>7565</v>
      </c>
      <c r="F383">
        <v>203</v>
      </c>
      <c r="G383">
        <f>Table1[[#This Row],[Children apprehended and placed in CBP custody*]]-Table1[[#This Row],[Children discharged from HHS Care]]</f>
        <v>57</v>
      </c>
    </row>
    <row r="384" spans="1:7" x14ac:dyDescent="0.25">
      <c r="A384" s="1">
        <v>45446</v>
      </c>
      <c r="B384">
        <v>109</v>
      </c>
      <c r="C384">
        <v>244</v>
      </c>
      <c r="D384">
        <v>257</v>
      </c>
      <c r="E384" s="2">
        <v>7596</v>
      </c>
      <c r="F384">
        <v>224</v>
      </c>
      <c r="G384">
        <f>Table1[[#This Row],[Children apprehended and placed in CBP custody*]]-Table1[[#This Row],[Children discharged from HHS Care]]</f>
        <v>-115</v>
      </c>
    </row>
    <row r="385" spans="1:7" x14ac:dyDescent="0.25">
      <c r="A385" s="1">
        <v>45445</v>
      </c>
      <c r="B385">
        <v>159</v>
      </c>
      <c r="C385">
        <v>330</v>
      </c>
      <c r="D385">
        <v>322</v>
      </c>
      <c r="E385" s="2">
        <v>7546</v>
      </c>
      <c r="F385">
        <v>306</v>
      </c>
      <c r="G385">
        <f>Table1[[#This Row],[Children apprehended and placed in CBP custody*]]-Table1[[#This Row],[Children discharged from HHS Care]]</f>
        <v>-147</v>
      </c>
    </row>
    <row r="386" spans="1:7" x14ac:dyDescent="0.25">
      <c r="A386" s="1">
        <v>45442</v>
      </c>
      <c r="B386">
        <v>167</v>
      </c>
      <c r="C386">
        <v>406</v>
      </c>
      <c r="D386">
        <v>339</v>
      </c>
      <c r="E386" s="2">
        <v>7563</v>
      </c>
      <c r="F386">
        <v>190</v>
      </c>
      <c r="G386">
        <f>Table1[[#This Row],[Children apprehended and placed in CBP custody*]]-Table1[[#This Row],[Children discharged from HHS Care]]</f>
        <v>-23</v>
      </c>
    </row>
    <row r="387" spans="1:7" x14ac:dyDescent="0.25">
      <c r="A387" s="1">
        <v>45441</v>
      </c>
      <c r="B387">
        <v>182</v>
      </c>
      <c r="C387">
        <v>462</v>
      </c>
      <c r="D387">
        <v>158</v>
      </c>
      <c r="E387" s="2">
        <v>7491</v>
      </c>
      <c r="F387">
        <v>141</v>
      </c>
      <c r="G387">
        <f>Table1[[#This Row],[Children apprehended and placed in CBP custody*]]-Table1[[#This Row],[Children discharged from HHS Care]]</f>
        <v>41</v>
      </c>
    </row>
    <row r="388" spans="1:7" x14ac:dyDescent="0.25">
      <c r="A388" s="1">
        <v>45440</v>
      </c>
      <c r="B388">
        <v>153</v>
      </c>
      <c r="C388">
        <v>348</v>
      </c>
      <c r="D388">
        <v>239</v>
      </c>
      <c r="E388" s="2">
        <v>7418</v>
      </c>
      <c r="F388">
        <v>151</v>
      </c>
      <c r="G388">
        <f>Table1[[#This Row],[Children apprehended and placed in CBP custody*]]-Table1[[#This Row],[Children discharged from HHS Care]]</f>
        <v>2</v>
      </c>
    </row>
    <row r="389" spans="1:7" x14ac:dyDescent="0.25">
      <c r="A389" s="1">
        <v>45439</v>
      </c>
      <c r="B389">
        <v>156</v>
      </c>
      <c r="C389">
        <v>344</v>
      </c>
      <c r="D389">
        <v>252</v>
      </c>
      <c r="E389" s="2">
        <v>7365</v>
      </c>
      <c r="F389">
        <v>167</v>
      </c>
      <c r="G389">
        <f>Table1[[#This Row],[Children apprehended and placed in CBP custody*]]-Table1[[#This Row],[Children discharged from HHS Care]]</f>
        <v>-11</v>
      </c>
    </row>
    <row r="390" spans="1:7" x14ac:dyDescent="0.25">
      <c r="A390" s="1">
        <v>45435</v>
      </c>
      <c r="B390">
        <v>193</v>
      </c>
      <c r="C390">
        <v>272</v>
      </c>
      <c r="D390">
        <v>314</v>
      </c>
      <c r="E390" s="2">
        <v>7494</v>
      </c>
      <c r="F390">
        <v>227</v>
      </c>
      <c r="G390">
        <f>Table1[[#This Row],[Children apprehended and placed in CBP custody*]]-Table1[[#This Row],[Children discharged from HHS Care]]</f>
        <v>-34</v>
      </c>
    </row>
    <row r="391" spans="1:7" x14ac:dyDescent="0.25">
      <c r="A391" s="1">
        <v>45434</v>
      </c>
      <c r="B391">
        <v>168</v>
      </c>
      <c r="C391">
        <v>349</v>
      </c>
      <c r="D391">
        <v>272</v>
      </c>
      <c r="E391" s="2">
        <v>7474</v>
      </c>
      <c r="F391">
        <v>208</v>
      </c>
      <c r="G391">
        <f>Table1[[#This Row],[Children apprehended and placed in CBP custody*]]-Table1[[#This Row],[Children discharged from HHS Care]]</f>
        <v>-40</v>
      </c>
    </row>
    <row r="392" spans="1:7" x14ac:dyDescent="0.25">
      <c r="A392" s="1">
        <v>45433</v>
      </c>
      <c r="B392">
        <v>196</v>
      </c>
      <c r="C392">
        <v>348</v>
      </c>
      <c r="D392">
        <v>176</v>
      </c>
      <c r="E392" s="2">
        <v>7404</v>
      </c>
      <c r="F392">
        <v>145</v>
      </c>
      <c r="G392">
        <f>Table1[[#This Row],[Children apprehended and placed in CBP custody*]]-Table1[[#This Row],[Children discharged from HHS Care]]</f>
        <v>51</v>
      </c>
    </row>
    <row r="393" spans="1:7" x14ac:dyDescent="0.25">
      <c r="A393" s="1">
        <v>45432</v>
      </c>
      <c r="B393">
        <v>111</v>
      </c>
      <c r="C393">
        <v>268</v>
      </c>
      <c r="D393">
        <v>217</v>
      </c>
      <c r="E393" s="2">
        <v>7368</v>
      </c>
      <c r="F393">
        <v>192</v>
      </c>
      <c r="G393">
        <f>Table1[[#This Row],[Children apprehended and placed in CBP custody*]]-Table1[[#This Row],[Children discharged from HHS Care]]</f>
        <v>-81</v>
      </c>
    </row>
    <row r="394" spans="1:7" x14ac:dyDescent="0.25">
      <c r="A394" s="1">
        <v>45431</v>
      </c>
      <c r="B394">
        <v>143</v>
      </c>
      <c r="C394">
        <v>295</v>
      </c>
      <c r="D394">
        <v>278</v>
      </c>
      <c r="E394" s="2">
        <v>7356</v>
      </c>
      <c r="F394">
        <v>298</v>
      </c>
      <c r="G394">
        <f>Table1[[#This Row],[Children apprehended and placed in CBP custody*]]-Table1[[#This Row],[Children discharged from HHS Care]]</f>
        <v>-155</v>
      </c>
    </row>
    <row r="395" spans="1:7" x14ac:dyDescent="0.25">
      <c r="A395" s="1">
        <v>45428</v>
      </c>
      <c r="B395">
        <v>206</v>
      </c>
      <c r="C395">
        <v>340</v>
      </c>
      <c r="D395">
        <v>214</v>
      </c>
      <c r="E395" s="2">
        <v>7565</v>
      </c>
      <c r="F395">
        <v>234</v>
      </c>
      <c r="G395">
        <f>Table1[[#This Row],[Children apprehended and placed in CBP custody*]]-Table1[[#This Row],[Children discharged from HHS Care]]</f>
        <v>-28</v>
      </c>
    </row>
    <row r="396" spans="1:7" x14ac:dyDescent="0.25">
      <c r="A396" s="1">
        <v>45427</v>
      </c>
      <c r="B396">
        <v>115</v>
      </c>
      <c r="C396">
        <v>285</v>
      </c>
      <c r="D396">
        <v>341</v>
      </c>
      <c r="E396" s="2">
        <v>7589</v>
      </c>
      <c r="F396">
        <v>265</v>
      </c>
      <c r="G396">
        <f>Table1[[#This Row],[Children apprehended and placed in CBP custody*]]-Table1[[#This Row],[Children discharged from HHS Care]]</f>
        <v>-150</v>
      </c>
    </row>
    <row r="397" spans="1:7" x14ac:dyDescent="0.25">
      <c r="A397" s="1">
        <v>45426</v>
      </c>
      <c r="B397">
        <v>246</v>
      </c>
      <c r="C397">
        <v>419</v>
      </c>
      <c r="D397">
        <v>218</v>
      </c>
      <c r="E397" s="2">
        <v>7546</v>
      </c>
      <c r="F397">
        <v>186</v>
      </c>
      <c r="G397">
        <f>Table1[[#This Row],[Children apprehended and placed in CBP custody*]]-Table1[[#This Row],[Children discharged from HHS Care]]</f>
        <v>60</v>
      </c>
    </row>
    <row r="398" spans="1:7" x14ac:dyDescent="0.25">
      <c r="A398" s="1">
        <v>45425</v>
      </c>
      <c r="B398">
        <v>112</v>
      </c>
      <c r="C398">
        <v>331</v>
      </c>
      <c r="D398">
        <v>167</v>
      </c>
      <c r="E398" s="2">
        <v>7499</v>
      </c>
      <c r="F398">
        <v>157</v>
      </c>
      <c r="G398">
        <f>Table1[[#This Row],[Children apprehended and placed in CBP custody*]]-Table1[[#This Row],[Children discharged from HHS Care]]</f>
        <v>-45</v>
      </c>
    </row>
    <row r="399" spans="1:7" x14ac:dyDescent="0.25">
      <c r="A399" s="1">
        <v>45424</v>
      </c>
      <c r="B399">
        <v>138</v>
      </c>
      <c r="C399">
        <v>301</v>
      </c>
      <c r="D399">
        <v>263</v>
      </c>
      <c r="E399" s="2">
        <v>7464</v>
      </c>
      <c r="F399">
        <v>245</v>
      </c>
      <c r="G399">
        <f>Table1[[#This Row],[Children apprehended and placed in CBP custody*]]-Table1[[#This Row],[Children discharged from HHS Care]]</f>
        <v>-107</v>
      </c>
    </row>
    <row r="400" spans="1:7" x14ac:dyDescent="0.25">
      <c r="A400" s="1">
        <v>45421</v>
      </c>
      <c r="B400">
        <v>138</v>
      </c>
      <c r="C400">
        <v>285</v>
      </c>
      <c r="D400">
        <v>268</v>
      </c>
      <c r="E400" s="2">
        <v>7570</v>
      </c>
      <c r="F400">
        <v>244</v>
      </c>
      <c r="G400">
        <f>Table1[[#This Row],[Children apprehended and placed in CBP custody*]]-Table1[[#This Row],[Children discharged from HHS Care]]</f>
        <v>-106</v>
      </c>
    </row>
    <row r="401" spans="1:7" x14ac:dyDescent="0.25">
      <c r="A401" s="1">
        <v>45420</v>
      </c>
      <c r="B401">
        <v>167</v>
      </c>
      <c r="C401">
        <v>374</v>
      </c>
      <c r="D401">
        <v>205</v>
      </c>
      <c r="E401" s="2">
        <v>7583</v>
      </c>
      <c r="F401">
        <v>202</v>
      </c>
      <c r="G401">
        <f>Table1[[#This Row],[Children apprehended and placed in CBP custody*]]-Table1[[#This Row],[Children discharged from HHS Care]]</f>
        <v>-35</v>
      </c>
    </row>
    <row r="402" spans="1:7" x14ac:dyDescent="0.25">
      <c r="A402" s="1">
        <v>45419</v>
      </c>
      <c r="B402">
        <v>176</v>
      </c>
      <c r="C402">
        <v>334</v>
      </c>
      <c r="D402">
        <v>246</v>
      </c>
      <c r="E402" s="2">
        <v>7566</v>
      </c>
      <c r="F402">
        <v>163</v>
      </c>
      <c r="G402">
        <f>Table1[[#This Row],[Children apprehended and placed in CBP custody*]]-Table1[[#This Row],[Children discharged from HHS Care]]</f>
        <v>13</v>
      </c>
    </row>
    <row r="403" spans="1:7" x14ac:dyDescent="0.25">
      <c r="A403" s="1">
        <v>45418</v>
      </c>
      <c r="B403">
        <v>173</v>
      </c>
      <c r="C403">
        <v>337</v>
      </c>
      <c r="D403">
        <v>211</v>
      </c>
      <c r="E403" s="2">
        <v>7449</v>
      </c>
      <c r="F403">
        <v>205</v>
      </c>
      <c r="G403">
        <f>Table1[[#This Row],[Children apprehended and placed in CBP custody*]]-Table1[[#This Row],[Children discharged from HHS Care]]</f>
        <v>-32</v>
      </c>
    </row>
    <row r="404" spans="1:7" x14ac:dyDescent="0.25">
      <c r="A404" s="1">
        <v>45417</v>
      </c>
      <c r="B404">
        <v>150</v>
      </c>
      <c r="C404">
        <v>315</v>
      </c>
      <c r="D404">
        <v>228</v>
      </c>
      <c r="E404" s="2">
        <v>7447</v>
      </c>
      <c r="F404">
        <v>332</v>
      </c>
      <c r="G404">
        <f>Table1[[#This Row],[Children apprehended and placed in CBP custody*]]-Table1[[#This Row],[Children discharged from HHS Care]]</f>
        <v>-182</v>
      </c>
    </row>
    <row r="405" spans="1:7" x14ac:dyDescent="0.25">
      <c r="A405" s="1">
        <v>45414</v>
      </c>
      <c r="B405">
        <v>206</v>
      </c>
      <c r="C405">
        <v>411</v>
      </c>
      <c r="D405">
        <v>293</v>
      </c>
      <c r="E405" s="2">
        <v>7577</v>
      </c>
      <c r="F405">
        <v>194</v>
      </c>
      <c r="G405">
        <f>Table1[[#This Row],[Children apprehended and placed in CBP custody*]]-Table1[[#This Row],[Children discharged from HHS Care]]</f>
        <v>12</v>
      </c>
    </row>
    <row r="406" spans="1:7" x14ac:dyDescent="0.25">
      <c r="A406" s="1">
        <v>45413</v>
      </c>
      <c r="B406">
        <v>197</v>
      </c>
      <c r="C406">
        <v>437</v>
      </c>
      <c r="D406">
        <v>295</v>
      </c>
      <c r="E406" s="2">
        <v>7508</v>
      </c>
      <c r="F406">
        <v>190</v>
      </c>
      <c r="G406">
        <f>Table1[[#This Row],[Children apprehended and placed in CBP custody*]]-Table1[[#This Row],[Children discharged from HHS Care]]</f>
        <v>7</v>
      </c>
    </row>
    <row r="407" spans="1:7" x14ac:dyDescent="0.25">
      <c r="A407" s="1">
        <v>45412</v>
      </c>
      <c r="B407">
        <v>220</v>
      </c>
      <c r="C407">
        <v>443</v>
      </c>
      <c r="D407">
        <v>194</v>
      </c>
      <c r="E407" s="2">
        <v>7431</v>
      </c>
      <c r="F407">
        <v>135</v>
      </c>
      <c r="G407">
        <f>Table1[[#This Row],[Children apprehended and placed in CBP custody*]]-Table1[[#This Row],[Children discharged from HHS Care]]</f>
        <v>85</v>
      </c>
    </row>
    <row r="408" spans="1:7" x14ac:dyDescent="0.25">
      <c r="A408" s="1">
        <v>45411</v>
      </c>
      <c r="B408">
        <v>140</v>
      </c>
      <c r="C408">
        <v>292</v>
      </c>
      <c r="D408">
        <v>255</v>
      </c>
      <c r="E408" s="2">
        <v>7373</v>
      </c>
      <c r="F408">
        <v>187</v>
      </c>
      <c r="G408">
        <f>Table1[[#This Row],[Children apprehended and placed in CBP custody*]]-Table1[[#This Row],[Children discharged from HHS Care]]</f>
        <v>-47</v>
      </c>
    </row>
    <row r="409" spans="1:7" x14ac:dyDescent="0.25">
      <c r="A409" s="1">
        <v>45410</v>
      </c>
      <c r="B409">
        <v>158</v>
      </c>
      <c r="C409">
        <v>349</v>
      </c>
      <c r="D409">
        <v>365</v>
      </c>
      <c r="E409" s="2">
        <v>7298</v>
      </c>
      <c r="F409">
        <v>250</v>
      </c>
      <c r="G409">
        <f>Table1[[#This Row],[Children apprehended and placed in CBP custody*]]-Table1[[#This Row],[Children discharged from HHS Care]]</f>
        <v>-92</v>
      </c>
    </row>
    <row r="410" spans="1:7" x14ac:dyDescent="0.25">
      <c r="A410" s="1">
        <v>45407</v>
      </c>
      <c r="B410">
        <v>145</v>
      </c>
      <c r="C410">
        <v>357</v>
      </c>
      <c r="D410">
        <v>333</v>
      </c>
      <c r="E410" s="2">
        <v>7209</v>
      </c>
      <c r="F410">
        <v>217</v>
      </c>
      <c r="G410">
        <f>Table1[[#This Row],[Children apprehended and placed in CBP custody*]]-Table1[[#This Row],[Children discharged from HHS Care]]</f>
        <v>-72</v>
      </c>
    </row>
    <row r="411" spans="1:7" x14ac:dyDescent="0.25">
      <c r="A411" s="1">
        <v>45406</v>
      </c>
      <c r="B411">
        <v>253</v>
      </c>
      <c r="C411">
        <v>411</v>
      </c>
      <c r="D411">
        <v>307</v>
      </c>
      <c r="E411" s="2">
        <v>7128</v>
      </c>
      <c r="F411">
        <v>154</v>
      </c>
      <c r="G411">
        <f>Table1[[#This Row],[Children apprehended and placed in CBP custody*]]-Table1[[#This Row],[Children discharged from HHS Care]]</f>
        <v>99</v>
      </c>
    </row>
    <row r="412" spans="1:7" x14ac:dyDescent="0.25">
      <c r="A412" s="1">
        <v>45405</v>
      </c>
      <c r="B412">
        <v>252</v>
      </c>
      <c r="C412">
        <v>427</v>
      </c>
      <c r="D412">
        <v>307</v>
      </c>
      <c r="E412" s="2">
        <v>6967</v>
      </c>
      <c r="F412">
        <v>134</v>
      </c>
      <c r="G412">
        <f>Table1[[#This Row],[Children apprehended and placed in CBP custody*]]-Table1[[#This Row],[Children discharged from HHS Care]]</f>
        <v>118</v>
      </c>
    </row>
    <row r="413" spans="1:7" x14ac:dyDescent="0.25">
      <c r="A413" s="1">
        <v>45404</v>
      </c>
      <c r="B413">
        <v>176</v>
      </c>
      <c r="C413">
        <v>424</v>
      </c>
      <c r="D413">
        <v>251</v>
      </c>
      <c r="E413" s="2">
        <v>6799</v>
      </c>
      <c r="F413">
        <v>214</v>
      </c>
      <c r="G413">
        <f>Table1[[#This Row],[Children apprehended and placed in CBP custody*]]-Table1[[#This Row],[Children discharged from HHS Care]]</f>
        <v>-38</v>
      </c>
    </row>
    <row r="414" spans="1:7" x14ac:dyDescent="0.25">
      <c r="A414" s="1">
        <v>45403</v>
      </c>
      <c r="B414">
        <v>208</v>
      </c>
      <c r="C414">
        <v>380</v>
      </c>
      <c r="D414">
        <v>343</v>
      </c>
      <c r="E414" s="2">
        <v>6745</v>
      </c>
      <c r="F414">
        <v>240</v>
      </c>
      <c r="G414">
        <f>Table1[[#This Row],[Children apprehended and placed in CBP custody*]]-Table1[[#This Row],[Children discharged from HHS Care]]</f>
        <v>-32</v>
      </c>
    </row>
    <row r="415" spans="1:7" x14ac:dyDescent="0.25">
      <c r="A415" s="1">
        <v>45400</v>
      </c>
      <c r="B415">
        <v>144</v>
      </c>
      <c r="C415">
        <v>322</v>
      </c>
      <c r="D415">
        <v>258</v>
      </c>
      <c r="E415" s="2">
        <v>6728</v>
      </c>
      <c r="F415">
        <v>260</v>
      </c>
      <c r="G415">
        <f>Table1[[#This Row],[Children apprehended and placed in CBP custody*]]-Table1[[#This Row],[Children discharged from HHS Care]]</f>
        <v>-116</v>
      </c>
    </row>
    <row r="416" spans="1:7" x14ac:dyDescent="0.25">
      <c r="A416" s="1">
        <v>45399</v>
      </c>
      <c r="B416">
        <v>182</v>
      </c>
      <c r="C416">
        <v>371</v>
      </c>
      <c r="D416">
        <v>274</v>
      </c>
      <c r="E416" s="2">
        <v>6725</v>
      </c>
      <c r="F416">
        <v>227</v>
      </c>
      <c r="G416">
        <f>Table1[[#This Row],[Children apprehended and placed in CBP custody*]]-Table1[[#This Row],[Children discharged from HHS Care]]</f>
        <v>-45</v>
      </c>
    </row>
    <row r="417" spans="1:7" x14ac:dyDescent="0.25">
      <c r="A417" s="1">
        <v>45398</v>
      </c>
      <c r="B417">
        <v>219</v>
      </c>
      <c r="C417">
        <v>392</v>
      </c>
      <c r="D417">
        <v>205</v>
      </c>
      <c r="E417" s="2">
        <v>6685</v>
      </c>
      <c r="F417">
        <v>163</v>
      </c>
      <c r="G417">
        <f>Table1[[#This Row],[Children apprehended and placed in CBP custody*]]-Table1[[#This Row],[Children discharged from HHS Care]]</f>
        <v>56</v>
      </c>
    </row>
    <row r="418" spans="1:7" x14ac:dyDescent="0.25">
      <c r="A418" s="1">
        <v>45397</v>
      </c>
      <c r="B418">
        <v>144</v>
      </c>
      <c r="C418">
        <v>303</v>
      </c>
      <c r="D418">
        <v>176</v>
      </c>
      <c r="E418" s="2">
        <v>6681</v>
      </c>
      <c r="F418">
        <v>191</v>
      </c>
      <c r="G418">
        <f>Table1[[#This Row],[Children apprehended and placed in CBP custody*]]-Table1[[#This Row],[Children discharged from HHS Care]]</f>
        <v>-47</v>
      </c>
    </row>
    <row r="419" spans="1:7" x14ac:dyDescent="0.25">
      <c r="A419" s="1">
        <v>45396</v>
      </c>
      <c r="B419">
        <v>128</v>
      </c>
      <c r="C419">
        <v>245</v>
      </c>
      <c r="D419">
        <v>243</v>
      </c>
      <c r="E419" s="2">
        <v>6630</v>
      </c>
      <c r="F419">
        <v>290</v>
      </c>
      <c r="G419">
        <f>Table1[[#This Row],[Children apprehended and placed in CBP custody*]]-Table1[[#This Row],[Children discharged from HHS Care]]</f>
        <v>-162</v>
      </c>
    </row>
    <row r="420" spans="1:7" x14ac:dyDescent="0.25">
      <c r="A420" s="1">
        <v>45393</v>
      </c>
      <c r="B420">
        <v>183</v>
      </c>
      <c r="C420">
        <v>221</v>
      </c>
      <c r="D420">
        <v>220</v>
      </c>
      <c r="E420" s="2">
        <v>6912</v>
      </c>
      <c r="F420">
        <v>285</v>
      </c>
      <c r="G420">
        <f>Table1[[#This Row],[Children apprehended and placed in CBP custody*]]-Table1[[#This Row],[Children discharged from HHS Care]]</f>
        <v>-102</v>
      </c>
    </row>
    <row r="421" spans="1:7" x14ac:dyDescent="0.25">
      <c r="A421" s="1">
        <v>45392</v>
      </c>
      <c r="B421">
        <v>117</v>
      </c>
      <c r="C421">
        <v>244</v>
      </c>
      <c r="D421">
        <v>142</v>
      </c>
      <c r="E421" s="2">
        <v>6999</v>
      </c>
      <c r="F421">
        <v>227</v>
      </c>
      <c r="G421">
        <f>Table1[[#This Row],[Children apprehended and placed in CBP custody*]]-Table1[[#This Row],[Children discharged from HHS Care]]</f>
        <v>-110</v>
      </c>
    </row>
    <row r="422" spans="1:7" x14ac:dyDescent="0.25">
      <c r="A422" s="1">
        <v>45391</v>
      </c>
      <c r="B422">
        <v>118</v>
      </c>
      <c r="C422">
        <v>231</v>
      </c>
      <c r="D422">
        <v>217</v>
      </c>
      <c r="E422" s="2">
        <v>7043</v>
      </c>
      <c r="F422">
        <v>130</v>
      </c>
      <c r="G422">
        <f>Table1[[#This Row],[Children apprehended and placed in CBP custody*]]-Table1[[#This Row],[Children discharged from HHS Care]]</f>
        <v>-12</v>
      </c>
    </row>
    <row r="423" spans="1:7" x14ac:dyDescent="0.25">
      <c r="A423" s="1">
        <v>45390</v>
      </c>
      <c r="B423">
        <v>102</v>
      </c>
      <c r="C423">
        <v>230</v>
      </c>
      <c r="D423">
        <v>167</v>
      </c>
      <c r="E423" s="2">
        <v>6988</v>
      </c>
      <c r="F423">
        <v>199</v>
      </c>
      <c r="G423">
        <f>Table1[[#This Row],[Children apprehended and placed in CBP custody*]]-Table1[[#This Row],[Children discharged from HHS Care]]</f>
        <v>-97</v>
      </c>
    </row>
    <row r="424" spans="1:7" x14ac:dyDescent="0.25">
      <c r="A424" s="1">
        <v>45389</v>
      </c>
      <c r="B424">
        <v>106</v>
      </c>
      <c r="C424">
        <v>239</v>
      </c>
      <c r="D424">
        <v>233</v>
      </c>
      <c r="E424" s="2">
        <v>6982</v>
      </c>
      <c r="F424">
        <v>279</v>
      </c>
      <c r="G424">
        <f>Table1[[#This Row],[Children apprehended and placed in CBP custody*]]-Table1[[#This Row],[Children discharged from HHS Care]]</f>
        <v>-173</v>
      </c>
    </row>
    <row r="425" spans="1:7" x14ac:dyDescent="0.25">
      <c r="A425" s="1">
        <v>45386</v>
      </c>
      <c r="B425">
        <v>95</v>
      </c>
      <c r="C425">
        <v>226</v>
      </c>
      <c r="D425">
        <v>152</v>
      </c>
      <c r="E425" s="2">
        <v>7317</v>
      </c>
      <c r="F425">
        <v>225</v>
      </c>
      <c r="G425">
        <f>Table1[[#This Row],[Children apprehended and placed in CBP custody*]]-Table1[[#This Row],[Children discharged from HHS Care]]</f>
        <v>-130</v>
      </c>
    </row>
    <row r="426" spans="1:7" x14ac:dyDescent="0.25">
      <c r="A426" s="1">
        <v>45385</v>
      </c>
      <c r="B426">
        <v>124</v>
      </c>
      <c r="C426">
        <v>230</v>
      </c>
      <c r="D426">
        <v>190</v>
      </c>
      <c r="E426" s="2">
        <v>7346</v>
      </c>
      <c r="F426">
        <v>163</v>
      </c>
      <c r="G426">
        <f>Table1[[#This Row],[Children apprehended and placed in CBP custody*]]-Table1[[#This Row],[Children discharged from HHS Care]]</f>
        <v>-39</v>
      </c>
    </row>
    <row r="427" spans="1:7" x14ac:dyDescent="0.25">
      <c r="A427" s="1">
        <v>45384</v>
      </c>
      <c r="B427">
        <v>101</v>
      </c>
      <c r="C427">
        <v>230</v>
      </c>
      <c r="D427">
        <v>175</v>
      </c>
      <c r="E427" s="2">
        <v>7340</v>
      </c>
      <c r="F427">
        <v>132</v>
      </c>
      <c r="G427">
        <f>Table1[[#This Row],[Children apprehended and placed in CBP custody*]]-Table1[[#This Row],[Children discharged from HHS Care]]</f>
        <v>-31</v>
      </c>
    </row>
    <row r="428" spans="1:7" x14ac:dyDescent="0.25">
      <c r="A428" s="1">
        <v>45383</v>
      </c>
      <c r="B428">
        <v>109</v>
      </c>
      <c r="C428">
        <v>235</v>
      </c>
      <c r="D428">
        <v>171</v>
      </c>
      <c r="E428" s="2">
        <v>7271</v>
      </c>
      <c r="F428">
        <v>172</v>
      </c>
      <c r="G428">
        <f>Table1[[#This Row],[Children apprehended and placed in CBP custody*]]-Table1[[#This Row],[Children discharged from HHS Care]]</f>
        <v>-63</v>
      </c>
    </row>
    <row r="429" spans="1:7" x14ac:dyDescent="0.25">
      <c r="A429" s="1">
        <v>45382</v>
      </c>
      <c r="B429">
        <v>105</v>
      </c>
      <c r="C429">
        <v>254</v>
      </c>
      <c r="D429">
        <v>151</v>
      </c>
      <c r="E429" s="2">
        <v>7257</v>
      </c>
      <c r="F429">
        <v>287</v>
      </c>
      <c r="G429">
        <f>Table1[[#This Row],[Children apprehended and placed in CBP custody*]]-Table1[[#This Row],[Children discharged from HHS Care]]</f>
        <v>-182</v>
      </c>
    </row>
    <row r="430" spans="1:7" x14ac:dyDescent="0.25">
      <c r="A430" s="1">
        <v>45379</v>
      </c>
      <c r="B430">
        <v>161</v>
      </c>
      <c r="C430">
        <v>288</v>
      </c>
      <c r="D430">
        <v>248</v>
      </c>
      <c r="E430" s="2">
        <v>7762</v>
      </c>
      <c r="F430">
        <v>360</v>
      </c>
      <c r="G430">
        <f>Table1[[#This Row],[Children apprehended and placed in CBP custody*]]-Table1[[#This Row],[Children discharged from HHS Care]]</f>
        <v>-199</v>
      </c>
    </row>
    <row r="431" spans="1:7" x14ac:dyDescent="0.25">
      <c r="A431" s="1">
        <v>45378</v>
      </c>
      <c r="B431">
        <v>129</v>
      </c>
      <c r="C431">
        <v>287</v>
      </c>
      <c r="D431">
        <v>185</v>
      </c>
      <c r="E431" s="2">
        <v>7893</v>
      </c>
      <c r="F431">
        <v>215</v>
      </c>
      <c r="G431">
        <f>Table1[[#This Row],[Children apprehended and placed in CBP custody*]]-Table1[[#This Row],[Children discharged from HHS Care]]</f>
        <v>-86</v>
      </c>
    </row>
    <row r="432" spans="1:7" x14ac:dyDescent="0.25">
      <c r="A432" s="1">
        <v>45377</v>
      </c>
      <c r="B432">
        <v>187</v>
      </c>
      <c r="C432">
        <v>276</v>
      </c>
      <c r="D432">
        <v>200</v>
      </c>
      <c r="E432" s="2">
        <v>7919</v>
      </c>
      <c r="F432">
        <v>208</v>
      </c>
      <c r="G432">
        <f>Table1[[#This Row],[Children apprehended and placed in CBP custody*]]-Table1[[#This Row],[Children discharged from HHS Care]]</f>
        <v>-21</v>
      </c>
    </row>
    <row r="433" spans="1:7" x14ac:dyDescent="0.25">
      <c r="A433" s="1">
        <v>45376</v>
      </c>
      <c r="B433">
        <v>128</v>
      </c>
      <c r="C433">
        <v>242</v>
      </c>
      <c r="D433">
        <v>224</v>
      </c>
      <c r="E433" s="2">
        <v>7899</v>
      </c>
      <c r="F433">
        <v>229</v>
      </c>
      <c r="G433">
        <f>Table1[[#This Row],[Children apprehended and placed in CBP custody*]]-Table1[[#This Row],[Children discharged from HHS Care]]</f>
        <v>-101</v>
      </c>
    </row>
    <row r="434" spans="1:7" x14ac:dyDescent="0.25">
      <c r="A434" s="1">
        <v>45375</v>
      </c>
      <c r="B434">
        <v>124</v>
      </c>
      <c r="C434">
        <v>264</v>
      </c>
      <c r="D434">
        <v>221</v>
      </c>
      <c r="E434" s="2">
        <v>7899</v>
      </c>
      <c r="F434">
        <v>373</v>
      </c>
      <c r="G434">
        <f>Table1[[#This Row],[Children apprehended and placed in CBP custody*]]-Table1[[#This Row],[Children discharged from HHS Care]]</f>
        <v>-249</v>
      </c>
    </row>
    <row r="435" spans="1:7" x14ac:dyDescent="0.25">
      <c r="A435" s="1">
        <v>45372</v>
      </c>
      <c r="B435">
        <v>132</v>
      </c>
      <c r="C435">
        <v>261</v>
      </c>
      <c r="D435">
        <v>141</v>
      </c>
      <c r="E435" s="2">
        <v>8292</v>
      </c>
      <c r="F435">
        <v>235</v>
      </c>
      <c r="G435">
        <f>Table1[[#This Row],[Children apprehended and placed in CBP custody*]]-Table1[[#This Row],[Children discharged from HHS Care]]</f>
        <v>-103</v>
      </c>
    </row>
    <row r="436" spans="1:7" x14ac:dyDescent="0.25">
      <c r="A436" s="1">
        <v>45371</v>
      </c>
      <c r="B436">
        <v>91</v>
      </c>
      <c r="C436">
        <v>181</v>
      </c>
      <c r="D436">
        <v>174</v>
      </c>
      <c r="E436" s="2">
        <v>8365</v>
      </c>
      <c r="F436">
        <v>227</v>
      </c>
      <c r="G436">
        <f>Table1[[#This Row],[Children apprehended and placed in CBP custody*]]-Table1[[#This Row],[Children discharged from HHS Care]]</f>
        <v>-136</v>
      </c>
    </row>
    <row r="437" spans="1:7" x14ac:dyDescent="0.25">
      <c r="A437" s="1">
        <v>45370</v>
      </c>
      <c r="B437">
        <v>99</v>
      </c>
      <c r="C437">
        <v>202</v>
      </c>
      <c r="D437">
        <v>256</v>
      </c>
      <c r="E437" s="2">
        <v>8390</v>
      </c>
      <c r="F437">
        <v>197</v>
      </c>
      <c r="G437">
        <f>Table1[[#This Row],[Children apprehended and placed in CBP custody*]]-Table1[[#This Row],[Children discharged from HHS Care]]</f>
        <v>-98</v>
      </c>
    </row>
    <row r="438" spans="1:7" x14ac:dyDescent="0.25">
      <c r="A438" s="1">
        <v>45369</v>
      </c>
      <c r="B438">
        <v>123</v>
      </c>
      <c r="C438">
        <v>243</v>
      </c>
      <c r="D438">
        <v>188</v>
      </c>
      <c r="E438" s="2">
        <v>8333</v>
      </c>
      <c r="F438">
        <v>283</v>
      </c>
      <c r="G438">
        <f>Table1[[#This Row],[Children apprehended and placed in CBP custody*]]-Table1[[#This Row],[Children discharged from HHS Care]]</f>
        <v>-160</v>
      </c>
    </row>
    <row r="439" spans="1:7" x14ac:dyDescent="0.25">
      <c r="A439" s="1">
        <v>45368</v>
      </c>
      <c r="B439">
        <v>127</v>
      </c>
      <c r="C439">
        <v>260</v>
      </c>
      <c r="D439">
        <v>259</v>
      </c>
      <c r="E439" s="2">
        <v>8373</v>
      </c>
      <c r="F439">
        <v>342</v>
      </c>
      <c r="G439">
        <f>Table1[[#This Row],[Children apprehended and placed in CBP custody*]]-Table1[[#This Row],[Children discharged from HHS Care]]</f>
        <v>-215</v>
      </c>
    </row>
    <row r="440" spans="1:7" x14ac:dyDescent="0.25">
      <c r="A440" s="1">
        <v>45365</v>
      </c>
      <c r="B440">
        <v>166</v>
      </c>
      <c r="C440">
        <v>301</v>
      </c>
      <c r="D440">
        <v>252</v>
      </c>
      <c r="E440" s="2">
        <v>8695</v>
      </c>
      <c r="F440">
        <v>310</v>
      </c>
      <c r="G440">
        <f>Table1[[#This Row],[Children apprehended and placed in CBP custody*]]-Table1[[#This Row],[Children discharged from HHS Care]]</f>
        <v>-144</v>
      </c>
    </row>
    <row r="441" spans="1:7" x14ac:dyDescent="0.25">
      <c r="A441" s="1">
        <v>45364</v>
      </c>
      <c r="B441">
        <v>165</v>
      </c>
      <c r="C441">
        <v>358</v>
      </c>
      <c r="D441">
        <v>167</v>
      </c>
      <c r="E441" s="2">
        <v>8819</v>
      </c>
      <c r="F441">
        <v>239</v>
      </c>
      <c r="G441">
        <f>Table1[[#This Row],[Children apprehended and placed in CBP custody*]]-Table1[[#This Row],[Children discharged from HHS Care]]</f>
        <v>-74</v>
      </c>
    </row>
    <row r="442" spans="1:7" x14ac:dyDescent="0.25">
      <c r="A442" s="1">
        <v>45363</v>
      </c>
      <c r="B442">
        <v>154</v>
      </c>
      <c r="C442">
        <v>294</v>
      </c>
      <c r="D442">
        <v>290</v>
      </c>
      <c r="E442" s="2">
        <v>8843</v>
      </c>
      <c r="F442">
        <v>213</v>
      </c>
      <c r="G442">
        <f>Table1[[#This Row],[Children apprehended and placed in CBP custody*]]-Table1[[#This Row],[Children discharged from HHS Care]]</f>
        <v>-59</v>
      </c>
    </row>
    <row r="443" spans="1:7" x14ac:dyDescent="0.25">
      <c r="A443" s="1">
        <v>45362</v>
      </c>
      <c r="B443">
        <v>178</v>
      </c>
      <c r="C443">
        <v>336</v>
      </c>
      <c r="D443">
        <v>290</v>
      </c>
      <c r="E443" s="2">
        <v>8757</v>
      </c>
      <c r="F443">
        <v>253</v>
      </c>
      <c r="G443">
        <f>Table1[[#This Row],[Children apprehended and placed in CBP custody*]]-Table1[[#This Row],[Children discharged from HHS Care]]</f>
        <v>-75</v>
      </c>
    </row>
    <row r="444" spans="1:7" x14ac:dyDescent="0.25">
      <c r="A444" s="1">
        <v>45361</v>
      </c>
      <c r="B444">
        <v>190</v>
      </c>
      <c r="C444">
        <v>368</v>
      </c>
      <c r="D444">
        <v>326</v>
      </c>
      <c r="E444" s="2">
        <v>8714</v>
      </c>
      <c r="F444">
        <v>373</v>
      </c>
      <c r="G444">
        <f>Table1[[#This Row],[Children apprehended and placed in CBP custody*]]-Table1[[#This Row],[Children discharged from HHS Care]]</f>
        <v>-183</v>
      </c>
    </row>
    <row r="445" spans="1:7" x14ac:dyDescent="0.25">
      <c r="A445" s="1">
        <v>45358</v>
      </c>
      <c r="B445">
        <v>181</v>
      </c>
      <c r="C445">
        <v>424</v>
      </c>
      <c r="D445">
        <v>328</v>
      </c>
      <c r="E445" s="2">
        <v>8902</v>
      </c>
      <c r="F445">
        <v>305</v>
      </c>
      <c r="G445">
        <f>Table1[[#This Row],[Children apprehended and placed in CBP custody*]]-Table1[[#This Row],[Children discharged from HHS Care]]</f>
        <v>-124</v>
      </c>
    </row>
    <row r="446" spans="1:7" x14ac:dyDescent="0.25">
      <c r="A446" s="1">
        <v>45357</v>
      </c>
      <c r="B446">
        <v>230</v>
      </c>
      <c r="C446">
        <v>457</v>
      </c>
      <c r="D446">
        <v>277</v>
      </c>
      <c r="E446" s="2">
        <v>8870</v>
      </c>
      <c r="F446">
        <v>232</v>
      </c>
      <c r="G446">
        <f>Table1[[#This Row],[Children apprehended and placed in CBP custody*]]-Table1[[#This Row],[Children discharged from HHS Care]]</f>
        <v>-2</v>
      </c>
    </row>
    <row r="447" spans="1:7" x14ac:dyDescent="0.25">
      <c r="A447" s="1">
        <v>45356</v>
      </c>
      <c r="B447">
        <v>246</v>
      </c>
      <c r="C447">
        <v>472</v>
      </c>
      <c r="D447">
        <v>345</v>
      </c>
      <c r="E447" s="2">
        <v>8800</v>
      </c>
      <c r="F447">
        <v>214</v>
      </c>
      <c r="G447">
        <f>Table1[[#This Row],[Children apprehended and placed in CBP custody*]]-Table1[[#This Row],[Children discharged from HHS Care]]</f>
        <v>32</v>
      </c>
    </row>
    <row r="448" spans="1:7" x14ac:dyDescent="0.25">
      <c r="A448" s="1">
        <v>45355</v>
      </c>
      <c r="B448">
        <v>225</v>
      </c>
      <c r="C448">
        <v>509</v>
      </c>
      <c r="D448">
        <v>340</v>
      </c>
      <c r="E448" s="2">
        <v>8660</v>
      </c>
      <c r="F448">
        <v>229</v>
      </c>
      <c r="G448">
        <f>Table1[[#This Row],[Children apprehended and placed in CBP custody*]]-Table1[[#This Row],[Children discharged from HHS Care]]</f>
        <v>-4</v>
      </c>
    </row>
    <row r="449" spans="1:7" x14ac:dyDescent="0.25">
      <c r="A449" s="1">
        <v>45354</v>
      </c>
      <c r="B449">
        <v>236</v>
      </c>
      <c r="C449">
        <v>468</v>
      </c>
      <c r="D449">
        <v>347</v>
      </c>
      <c r="E449" s="2">
        <v>8594</v>
      </c>
      <c r="F449">
        <v>354</v>
      </c>
      <c r="G449">
        <f>Table1[[#This Row],[Children apprehended and placed in CBP custody*]]-Table1[[#This Row],[Children discharged from HHS Care]]</f>
        <v>-118</v>
      </c>
    </row>
    <row r="450" spans="1:7" x14ac:dyDescent="0.25">
      <c r="A450" s="1">
        <v>45351</v>
      </c>
      <c r="B450">
        <v>262</v>
      </c>
      <c r="C450">
        <v>444</v>
      </c>
      <c r="D450">
        <v>354</v>
      </c>
      <c r="E450" s="2">
        <v>8724</v>
      </c>
      <c r="F450">
        <v>299</v>
      </c>
      <c r="G450">
        <f>Table1[[#This Row],[Children apprehended and placed in CBP custody*]]-Table1[[#This Row],[Children discharged from HHS Care]]</f>
        <v>-37</v>
      </c>
    </row>
    <row r="451" spans="1:7" x14ac:dyDescent="0.25">
      <c r="A451" s="1">
        <v>45350</v>
      </c>
      <c r="B451">
        <v>209</v>
      </c>
      <c r="C451">
        <v>447</v>
      </c>
      <c r="D451">
        <v>274</v>
      </c>
      <c r="E451" s="2">
        <v>8699</v>
      </c>
      <c r="F451">
        <v>257</v>
      </c>
      <c r="G451">
        <f>Table1[[#This Row],[Children apprehended and placed in CBP custody*]]-Table1[[#This Row],[Children discharged from HHS Care]]</f>
        <v>-48</v>
      </c>
    </row>
    <row r="452" spans="1:7" x14ac:dyDescent="0.25">
      <c r="A452" s="1">
        <v>45349</v>
      </c>
      <c r="B452">
        <v>197</v>
      </c>
      <c r="C452">
        <v>369</v>
      </c>
      <c r="D452">
        <v>306</v>
      </c>
      <c r="E452" s="2">
        <v>8650</v>
      </c>
      <c r="F452">
        <v>206</v>
      </c>
      <c r="G452">
        <f>Table1[[#This Row],[Children apprehended and placed in CBP custody*]]-Table1[[#This Row],[Children discharged from HHS Care]]</f>
        <v>-9</v>
      </c>
    </row>
    <row r="453" spans="1:7" x14ac:dyDescent="0.25">
      <c r="A453" s="1">
        <v>45348</v>
      </c>
      <c r="B453">
        <v>199</v>
      </c>
      <c r="C453">
        <v>438</v>
      </c>
      <c r="D453">
        <v>326</v>
      </c>
      <c r="E453" s="2">
        <v>8404</v>
      </c>
      <c r="F453">
        <v>329</v>
      </c>
      <c r="G453">
        <f>Table1[[#This Row],[Children apprehended and placed in CBP custody*]]-Table1[[#This Row],[Children discharged from HHS Care]]</f>
        <v>-130</v>
      </c>
    </row>
    <row r="454" spans="1:7" x14ac:dyDescent="0.25">
      <c r="A454" s="1">
        <v>45347</v>
      </c>
      <c r="B454">
        <v>244</v>
      </c>
      <c r="C454">
        <v>482</v>
      </c>
      <c r="D454">
        <v>366</v>
      </c>
      <c r="E454" s="2">
        <v>8404</v>
      </c>
      <c r="F454">
        <v>329</v>
      </c>
      <c r="G454">
        <f>Table1[[#This Row],[Children apprehended and placed in CBP custody*]]-Table1[[#This Row],[Children discharged from HHS Care]]</f>
        <v>-85</v>
      </c>
    </row>
    <row r="455" spans="1:7" x14ac:dyDescent="0.25">
      <c r="A455" s="1">
        <v>45344</v>
      </c>
      <c r="B455">
        <v>165</v>
      </c>
      <c r="C455">
        <v>400</v>
      </c>
      <c r="D455">
        <v>292</v>
      </c>
      <c r="E455" s="2">
        <v>8607</v>
      </c>
      <c r="F455">
        <v>293</v>
      </c>
      <c r="G455">
        <f>Table1[[#This Row],[Children apprehended and placed in CBP custody*]]-Table1[[#This Row],[Children discharged from HHS Care]]</f>
        <v>-128</v>
      </c>
    </row>
    <row r="456" spans="1:7" x14ac:dyDescent="0.25">
      <c r="A456" s="1">
        <v>45343</v>
      </c>
      <c r="B456">
        <v>232</v>
      </c>
      <c r="C456">
        <v>430</v>
      </c>
      <c r="D456">
        <v>318</v>
      </c>
      <c r="E456" s="2">
        <v>8573</v>
      </c>
      <c r="F456">
        <v>231</v>
      </c>
      <c r="G456">
        <f>Table1[[#This Row],[Children apprehended and placed in CBP custody*]]-Table1[[#This Row],[Children discharged from HHS Care]]</f>
        <v>1</v>
      </c>
    </row>
    <row r="457" spans="1:7" x14ac:dyDescent="0.25">
      <c r="A457" s="1">
        <v>45342</v>
      </c>
      <c r="B457">
        <v>149</v>
      </c>
      <c r="C457">
        <v>395</v>
      </c>
      <c r="D457">
        <v>273</v>
      </c>
      <c r="E457" s="2">
        <v>8488</v>
      </c>
      <c r="F457">
        <v>192</v>
      </c>
      <c r="G457">
        <f>Table1[[#This Row],[Children apprehended and placed in CBP custody*]]-Table1[[#This Row],[Children discharged from HHS Care]]</f>
        <v>-43</v>
      </c>
    </row>
    <row r="458" spans="1:7" x14ac:dyDescent="0.25">
      <c r="A458" s="1">
        <v>45341</v>
      </c>
      <c r="B458">
        <v>249</v>
      </c>
      <c r="C458">
        <v>420</v>
      </c>
      <c r="D458">
        <v>371</v>
      </c>
      <c r="E458" s="2">
        <v>8380</v>
      </c>
      <c r="F458">
        <v>218</v>
      </c>
      <c r="G458">
        <f>Table1[[#This Row],[Children apprehended and placed in CBP custody*]]-Table1[[#This Row],[Children discharged from HHS Care]]</f>
        <v>31</v>
      </c>
    </row>
    <row r="459" spans="1:7" x14ac:dyDescent="0.25">
      <c r="A459" s="1">
        <v>45337</v>
      </c>
      <c r="B459">
        <v>333</v>
      </c>
      <c r="C459">
        <v>508</v>
      </c>
      <c r="D459">
        <v>272</v>
      </c>
      <c r="E459" s="2">
        <v>8463</v>
      </c>
      <c r="F459">
        <v>312</v>
      </c>
      <c r="G459">
        <f>Table1[[#This Row],[Children apprehended and placed in CBP custody*]]-Table1[[#This Row],[Children discharged from HHS Care]]</f>
        <v>21</v>
      </c>
    </row>
    <row r="460" spans="1:7" x14ac:dyDescent="0.25">
      <c r="A460" s="1">
        <v>45336</v>
      </c>
      <c r="B460">
        <v>185</v>
      </c>
      <c r="C460">
        <v>322</v>
      </c>
      <c r="D460">
        <v>272</v>
      </c>
      <c r="E460" s="2">
        <v>8512</v>
      </c>
      <c r="F460">
        <v>230</v>
      </c>
      <c r="G460">
        <f>Table1[[#This Row],[Children apprehended and placed in CBP custody*]]-Table1[[#This Row],[Children discharged from HHS Care]]</f>
        <v>-45</v>
      </c>
    </row>
    <row r="461" spans="1:7" x14ac:dyDescent="0.25">
      <c r="A461" s="1">
        <v>45335</v>
      </c>
      <c r="B461">
        <v>227</v>
      </c>
      <c r="C461">
        <v>369</v>
      </c>
      <c r="D461">
        <v>349</v>
      </c>
      <c r="E461" s="2">
        <v>8348</v>
      </c>
      <c r="F461">
        <v>160</v>
      </c>
      <c r="G461">
        <f>Table1[[#This Row],[Children apprehended and placed in CBP custody*]]-Table1[[#This Row],[Children discharged from HHS Care]]</f>
        <v>67</v>
      </c>
    </row>
    <row r="462" spans="1:7" x14ac:dyDescent="0.25">
      <c r="A462" s="1">
        <v>45334</v>
      </c>
      <c r="B462">
        <v>213</v>
      </c>
      <c r="C462">
        <v>430</v>
      </c>
      <c r="D462">
        <v>440</v>
      </c>
      <c r="E462" s="2">
        <v>8092</v>
      </c>
      <c r="F462">
        <v>234</v>
      </c>
      <c r="G462">
        <f>Table1[[#This Row],[Children apprehended and placed in CBP custody*]]-Table1[[#This Row],[Children discharged from HHS Care]]</f>
        <v>-21</v>
      </c>
    </row>
    <row r="463" spans="1:7" x14ac:dyDescent="0.25">
      <c r="A463" s="1">
        <v>45333</v>
      </c>
      <c r="B463">
        <v>205</v>
      </c>
      <c r="C463">
        <v>515</v>
      </c>
      <c r="D463">
        <v>226</v>
      </c>
      <c r="E463" s="2">
        <v>8056</v>
      </c>
      <c r="F463">
        <v>347</v>
      </c>
      <c r="G463">
        <f>Table1[[#This Row],[Children apprehended and placed in CBP custody*]]-Table1[[#This Row],[Children discharged from HHS Care]]</f>
        <v>-142</v>
      </c>
    </row>
    <row r="464" spans="1:7" x14ac:dyDescent="0.25">
      <c r="A464" s="1">
        <v>45330</v>
      </c>
      <c r="B464">
        <v>298</v>
      </c>
      <c r="C464">
        <v>499</v>
      </c>
      <c r="D464">
        <v>358</v>
      </c>
      <c r="E464" s="2">
        <v>8188</v>
      </c>
      <c r="F464">
        <v>315</v>
      </c>
      <c r="G464">
        <f>Table1[[#This Row],[Children apprehended and placed in CBP custody*]]-Table1[[#This Row],[Children discharged from HHS Care]]</f>
        <v>-17</v>
      </c>
    </row>
    <row r="465" spans="1:7" x14ac:dyDescent="0.25">
      <c r="A465" s="1">
        <v>45329</v>
      </c>
      <c r="B465">
        <v>227</v>
      </c>
      <c r="C465">
        <v>453</v>
      </c>
      <c r="D465">
        <v>330</v>
      </c>
      <c r="E465" s="2">
        <v>8160</v>
      </c>
      <c r="F465">
        <v>222</v>
      </c>
      <c r="G465">
        <f>Table1[[#This Row],[Children apprehended and placed in CBP custody*]]-Table1[[#This Row],[Children discharged from HHS Care]]</f>
        <v>5</v>
      </c>
    </row>
    <row r="466" spans="1:7" x14ac:dyDescent="0.25">
      <c r="A466" s="1">
        <v>45328</v>
      </c>
      <c r="B466">
        <v>291</v>
      </c>
      <c r="C466">
        <v>455</v>
      </c>
      <c r="D466">
        <v>323</v>
      </c>
      <c r="E466" s="2">
        <v>8045</v>
      </c>
      <c r="F466">
        <v>178</v>
      </c>
      <c r="G466">
        <f>Table1[[#This Row],[Children apprehended and placed in CBP custody*]]-Table1[[#This Row],[Children discharged from HHS Care]]</f>
        <v>113</v>
      </c>
    </row>
    <row r="467" spans="1:7" x14ac:dyDescent="0.25">
      <c r="A467" s="1">
        <v>45327</v>
      </c>
      <c r="B467">
        <v>157</v>
      </c>
      <c r="C467">
        <v>466</v>
      </c>
      <c r="D467">
        <v>345</v>
      </c>
      <c r="E467" s="2">
        <v>7872</v>
      </c>
      <c r="F467">
        <v>242</v>
      </c>
      <c r="G467">
        <f>Table1[[#This Row],[Children apprehended and placed in CBP custody*]]-Table1[[#This Row],[Children discharged from HHS Care]]</f>
        <v>-85</v>
      </c>
    </row>
    <row r="468" spans="1:7" x14ac:dyDescent="0.25">
      <c r="A468" s="1">
        <v>45326</v>
      </c>
      <c r="B468">
        <v>253</v>
      </c>
      <c r="C468">
        <v>531</v>
      </c>
      <c r="D468">
        <v>248</v>
      </c>
      <c r="E468" s="2">
        <v>7813</v>
      </c>
      <c r="F468">
        <v>342</v>
      </c>
      <c r="G468">
        <f>Table1[[#This Row],[Children apprehended and placed in CBP custody*]]-Table1[[#This Row],[Children discharged from HHS Care]]</f>
        <v>-89</v>
      </c>
    </row>
    <row r="469" spans="1:7" x14ac:dyDescent="0.25">
      <c r="A469" s="1">
        <v>45323</v>
      </c>
      <c r="B469">
        <v>222</v>
      </c>
      <c r="C469">
        <v>459</v>
      </c>
      <c r="D469">
        <v>289</v>
      </c>
      <c r="E469" s="2">
        <v>8026</v>
      </c>
      <c r="F469">
        <v>337</v>
      </c>
      <c r="G469">
        <f>Table1[[#This Row],[Children apprehended and placed in CBP custody*]]-Table1[[#This Row],[Children discharged from HHS Care]]</f>
        <v>-115</v>
      </c>
    </row>
    <row r="470" spans="1:7" x14ac:dyDescent="0.25">
      <c r="A470" s="1">
        <v>45322</v>
      </c>
      <c r="B470">
        <v>203</v>
      </c>
      <c r="C470">
        <v>477</v>
      </c>
      <c r="D470">
        <v>258</v>
      </c>
      <c r="E470" s="2">
        <v>8153</v>
      </c>
      <c r="F470">
        <v>266</v>
      </c>
      <c r="G470">
        <f>Table1[[#This Row],[Children apprehended and placed in CBP custody*]]-Table1[[#This Row],[Children discharged from HHS Care]]</f>
        <v>-63</v>
      </c>
    </row>
    <row r="471" spans="1:7" x14ac:dyDescent="0.25">
      <c r="A471" s="1">
        <v>45321</v>
      </c>
      <c r="B471">
        <v>93</v>
      </c>
      <c r="C471">
        <v>198</v>
      </c>
      <c r="D471">
        <v>208</v>
      </c>
      <c r="E471" s="2">
        <v>8182</v>
      </c>
      <c r="F471">
        <v>187</v>
      </c>
      <c r="G471">
        <f>Table1[[#This Row],[Children apprehended and placed in CBP custody*]]-Table1[[#This Row],[Children discharged from HHS Care]]</f>
        <v>-94</v>
      </c>
    </row>
    <row r="472" spans="1:7" x14ac:dyDescent="0.25">
      <c r="A472" s="1">
        <v>45320</v>
      </c>
      <c r="B472">
        <v>137</v>
      </c>
      <c r="C472">
        <v>272</v>
      </c>
      <c r="D472">
        <v>166</v>
      </c>
      <c r="E472" s="2">
        <v>8057</v>
      </c>
      <c r="F472">
        <v>195</v>
      </c>
      <c r="G472">
        <f>Table1[[#This Row],[Children apprehended and placed in CBP custody*]]-Table1[[#This Row],[Children discharged from HHS Care]]</f>
        <v>-58</v>
      </c>
    </row>
    <row r="473" spans="1:7" x14ac:dyDescent="0.25">
      <c r="A473" s="1">
        <v>45319</v>
      </c>
      <c r="B473">
        <v>120</v>
      </c>
      <c r="C473">
        <v>257</v>
      </c>
      <c r="D473">
        <v>126</v>
      </c>
      <c r="E473" s="2">
        <v>8004</v>
      </c>
      <c r="F473">
        <v>307</v>
      </c>
      <c r="G473">
        <f>Table1[[#This Row],[Children apprehended and placed in CBP custody*]]-Table1[[#This Row],[Children discharged from HHS Care]]</f>
        <v>-187</v>
      </c>
    </row>
    <row r="474" spans="1:7" x14ac:dyDescent="0.25">
      <c r="A474" s="1">
        <v>45316</v>
      </c>
      <c r="B474">
        <v>102</v>
      </c>
      <c r="C474">
        <v>189</v>
      </c>
      <c r="D474">
        <v>155</v>
      </c>
      <c r="E474" s="2">
        <v>8180</v>
      </c>
      <c r="F474">
        <v>293</v>
      </c>
      <c r="G474">
        <f>Table1[[#This Row],[Children apprehended and placed in CBP custody*]]-Table1[[#This Row],[Children discharged from HHS Care]]</f>
        <v>-191</v>
      </c>
    </row>
    <row r="475" spans="1:7" x14ac:dyDescent="0.25">
      <c r="A475" s="1">
        <v>45315</v>
      </c>
      <c r="B475">
        <v>90</v>
      </c>
      <c r="C475">
        <v>196</v>
      </c>
      <c r="D475">
        <v>205</v>
      </c>
      <c r="E475" s="2">
        <v>8212</v>
      </c>
      <c r="F475">
        <v>243</v>
      </c>
      <c r="G475">
        <f>Table1[[#This Row],[Children apprehended and placed in CBP custody*]]-Table1[[#This Row],[Children discharged from HHS Care]]</f>
        <v>-153</v>
      </c>
    </row>
    <row r="476" spans="1:7" x14ac:dyDescent="0.25">
      <c r="A476" s="1">
        <v>45314</v>
      </c>
      <c r="B476">
        <v>128</v>
      </c>
      <c r="C476">
        <v>228</v>
      </c>
      <c r="D476">
        <v>177</v>
      </c>
      <c r="E476" s="2">
        <v>8133</v>
      </c>
      <c r="F476">
        <v>202</v>
      </c>
      <c r="G476">
        <f>Table1[[#This Row],[Children apprehended and placed in CBP custody*]]-Table1[[#This Row],[Children discharged from HHS Care]]</f>
        <v>-74</v>
      </c>
    </row>
    <row r="477" spans="1:7" x14ac:dyDescent="0.25">
      <c r="A477" s="1">
        <v>45313</v>
      </c>
      <c r="B477">
        <v>136</v>
      </c>
      <c r="C477">
        <v>246</v>
      </c>
      <c r="D477">
        <v>123</v>
      </c>
      <c r="E477" s="2">
        <v>8008</v>
      </c>
      <c r="F477">
        <v>222</v>
      </c>
      <c r="G477">
        <f>Table1[[#This Row],[Children apprehended and placed in CBP custody*]]-Table1[[#This Row],[Children discharged from HHS Care]]</f>
        <v>-86</v>
      </c>
    </row>
    <row r="478" spans="1:7" x14ac:dyDescent="0.25">
      <c r="A478" s="1">
        <v>45312</v>
      </c>
      <c r="B478">
        <v>105</v>
      </c>
      <c r="C478">
        <v>185</v>
      </c>
      <c r="D478">
        <v>158</v>
      </c>
      <c r="E478" s="2">
        <v>7974</v>
      </c>
      <c r="F478">
        <v>371</v>
      </c>
      <c r="G478">
        <f>Table1[[#This Row],[Children apprehended and placed in CBP custody*]]-Table1[[#This Row],[Children discharged from HHS Care]]</f>
        <v>-266</v>
      </c>
    </row>
    <row r="479" spans="1:7" x14ac:dyDescent="0.25">
      <c r="A479" s="1">
        <v>45309</v>
      </c>
      <c r="B479">
        <v>116</v>
      </c>
      <c r="C479">
        <v>188</v>
      </c>
      <c r="D479">
        <v>164</v>
      </c>
      <c r="E479" s="2">
        <v>8042</v>
      </c>
      <c r="F479">
        <v>359</v>
      </c>
      <c r="G479">
        <f>Table1[[#This Row],[Children apprehended and placed in CBP custody*]]-Table1[[#This Row],[Children discharged from HHS Care]]</f>
        <v>-243</v>
      </c>
    </row>
    <row r="480" spans="1:7" x14ac:dyDescent="0.25">
      <c r="A480" s="1">
        <v>45308</v>
      </c>
      <c r="B480">
        <v>80</v>
      </c>
      <c r="C480">
        <v>176</v>
      </c>
      <c r="D480">
        <v>125</v>
      </c>
      <c r="E480" s="2">
        <v>8072</v>
      </c>
      <c r="F480">
        <v>353</v>
      </c>
      <c r="G480">
        <f>Table1[[#This Row],[Children apprehended and placed in CBP custody*]]-Table1[[#This Row],[Children discharged from HHS Care]]</f>
        <v>-273</v>
      </c>
    </row>
    <row r="481" spans="1:7" x14ac:dyDescent="0.25">
      <c r="A481" s="1">
        <v>45307</v>
      </c>
      <c r="B481">
        <v>32</v>
      </c>
      <c r="C481">
        <v>49</v>
      </c>
      <c r="D481">
        <v>39</v>
      </c>
      <c r="E481" s="2">
        <v>8133</v>
      </c>
      <c r="F481">
        <v>188</v>
      </c>
      <c r="G481">
        <f>Table1[[#This Row],[Children apprehended and placed in CBP custody*]]-Table1[[#This Row],[Children discharged from HHS Care]]</f>
        <v>-156</v>
      </c>
    </row>
    <row r="482" spans="1:7" x14ac:dyDescent="0.25">
      <c r="A482" s="1">
        <v>45306</v>
      </c>
      <c r="B482">
        <v>33</v>
      </c>
      <c r="C482">
        <v>53</v>
      </c>
      <c r="D482">
        <v>34</v>
      </c>
      <c r="E482" s="2">
        <v>8033</v>
      </c>
      <c r="F482">
        <v>234</v>
      </c>
      <c r="G482">
        <f>Table1[[#This Row],[Children apprehended and placed in CBP custody*]]-Table1[[#This Row],[Children discharged from HHS Care]]</f>
        <v>-201</v>
      </c>
    </row>
    <row r="483" spans="1:7" x14ac:dyDescent="0.25">
      <c r="A483" s="1">
        <v>45302</v>
      </c>
      <c r="B483">
        <v>29</v>
      </c>
      <c r="C483">
        <v>51</v>
      </c>
      <c r="D483">
        <v>11</v>
      </c>
      <c r="E483" s="2">
        <v>8829</v>
      </c>
      <c r="F483">
        <v>476</v>
      </c>
      <c r="G483">
        <f>Table1[[#This Row],[Children apprehended and placed in CBP custody*]]-Table1[[#This Row],[Children discharged from HHS Care]]</f>
        <v>-447</v>
      </c>
    </row>
    <row r="484" spans="1:7" x14ac:dyDescent="0.25">
      <c r="A484" s="1">
        <v>45301</v>
      </c>
      <c r="B484">
        <v>91</v>
      </c>
      <c r="C484">
        <v>75</v>
      </c>
      <c r="D484">
        <v>97</v>
      </c>
      <c r="E484" s="2">
        <v>9144</v>
      </c>
      <c r="F484">
        <v>349</v>
      </c>
      <c r="G484">
        <f>Table1[[#This Row],[Children apprehended and placed in CBP custody*]]-Table1[[#This Row],[Children discharged from HHS Care]]</f>
        <v>-258</v>
      </c>
    </row>
    <row r="485" spans="1:7" x14ac:dyDescent="0.25">
      <c r="A485" s="1">
        <v>45300</v>
      </c>
      <c r="B485">
        <v>62</v>
      </c>
      <c r="C485">
        <v>97</v>
      </c>
      <c r="D485">
        <v>52</v>
      </c>
      <c r="E485" s="2">
        <v>9311</v>
      </c>
      <c r="F485">
        <v>286</v>
      </c>
      <c r="G485">
        <f>Table1[[#This Row],[Children apprehended and placed in CBP custody*]]-Table1[[#This Row],[Children discharged from HHS Care]]</f>
        <v>-224</v>
      </c>
    </row>
    <row r="486" spans="1:7" x14ac:dyDescent="0.25">
      <c r="A486" s="1">
        <v>45299</v>
      </c>
      <c r="B486">
        <v>59</v>
      </c>
      <c r="C486">
        <v>64</v>
      </c>
      <c r="D486">
        <v>117</v>
      </c>
      <c r="E486" s="2">
        <v>9670</v>
      </c>
      <c r="F486">
        <v>367</v>
      </c>
      <c r="G486">
        <f>Table1[[#This Row],[Children apprehended and placed in CBP custody*]]-Table1[[#This Row],[Children discharged from HHS Care]]</f>
        <v>-308</v>
      </c>
    </row>
    <row r="487" spans="1:7" x14ac:dyDescent="0.25">
      <c r="A487" s="1">
        <v>45298</v>
      </c>
      <c r="B487">
        <v>84</v>
      </c>
      <c r="C487">
        <v>118</v>
      </c>
      <c r="D487">
        <v>136</v>
      </c>
      <c r="E487" s="2">
        <v>9670</v>
      </c>
      <c r="F487">
        <v>367</v>
      </c>
      <c r="G487">
        <f>Table1[[#This Row],[Children apprehended and placed in CBP custody*]]-Table1[[#This Row],[Children discharged from HHS Care]]</f>
        <v>-283</v>
      </c>
    </row>
    <row r="488" spans="1:7" x14ac:dyDescent="0.25">
      <c r="A488" s="1">
        <v>45295</v>
      </c>
      <c r="B488">
        <v>86</v>
      </c>
      <c r="C488">
        <v>152</v>
      </c>
      <c r="D488">
        <v>168</v>
      </c>
      <c r="E488" s="2">
        <v>10558</v>
      </c>
      <c r="F488">
        <v>362</v>
      </c>
      <c r="G488">
        <f>Table1[[#This Row],[Children apprehended and placed in CBP custody*]]-Table1[[#This Row],[Children discharged from HHS Care]]</f>
        <v>-276</v>
      </c>
    </row>
    <row r="489" spans="1:7" x14ac:dyDescent="0.25">
      <c r="A489" s="1">
        <v>45294</v>
      </c>
      <c r="B489">
        <v>106</v>
      </c>
      <c r="C489">
        <v>196</v>
      </c>
      <c r="D489">
        <v>131</v>
      </c>
      <c r="E489" s="2">
        <v>10718</v>
      </c>
      <c r="F489">
        <v>263</v>
      </c>
      <c r="G489">
        <f>Table1[[#This Row],[Children apprehended and placed in CBP custody*]]-Table1[[#This Row],[Children discharged from HHS Care]]</f>
        <v>-157</v>
      </c>
    </row>
    <row r="490" spans="1:7" x14ac:dyDescent="0.25">
      <c r="A490" s="1">
        <v>45293</v>
      </c>
      <c r="B490">
        <v>113</v>
      </c>
      <c r="C490">
        <v>162</v>
      </c>
      <c r="D490">
        <v>107</v>
      </c>
      <c r="E490" s="2">
        <v>10770</v>
      </c>
      <c r="F490">
        <v>316</v>
      </c>
      <c r="G490">
        <f>Table1[[#This Row],[Children apprehended and placed in CBP custody*]]-Table1[[#This Row],[Children discharged from HHS Care]]</f>
        <v>-203</v>
      </c>
    </row>
    <row r="491" spans="1:7" x14ac:dyDescent="0.25">
      <c r="A491" s="1">
        <v>45292</v>
      </c>
      <c r="B491">
        <v>92</v>
      </c>
      <c r="C491">
        <v>124</v>
      </c>
      <c r="D491">
        <v>93</v>
      </c>
      <c r="E491" s="2">
        <v>10870</v>
      </c>
      <c r="F491">
        <v>290</v>
      </c>
      <c r="G491">
        <f>Table1[[#This Row],[Children apprehended and placed in CBP custody*]]-Table1[[#This Row],[Children discharged from HHS Care]]</f>
        <v>-198</v>
      </c>
    </row>
    <row r="492" spans="1:7" x14ac:dyDescent="0.25">
      <c r="A492" s="1">
        <v>45288</v>
      </c>
      <c r="B492">
        <v>68</v>
      </c>
      <c r="C492">
        <v>107</v>
      </c>
      <c r="D492">
        <v>102</v>
      </c>
      <c r="E492" s="2">
        <v>11230</v>
      </c>
      <c r="F492">
        <v>357</v>
      </c>
      <c r="G492">
        <f>Table1[[#This Row],[Children apprehended and placed in CBP custody*]]-Table1[[#This Row],[Children discharged from HHS Care]]</f>
        <v>-289</v>
      </c>
    </row>
    <row r="493" spans="1:7" x14ac:dyDescent="0.25">
      <c r="A493" s="1">
        <v>45287</v>
      </c>
      <c r="B493">
        <v>74</v>
      </c>
      <c r="C493">
        <v>103</v>
      </c>
      <c r="D493">
        <v>80</v>
      </c>
      <c r="E493" s="2">
        <v>11206</v>
      </c>
      <c r="F493">
        <v>335</v>
      </c>
      <c r="G493">
        <f>Table1[[#This Row],[Children apprehended and placed in CBP custody*]]-Table1[[#This Row],[Children discharged from HHS Care]]</f>
        <v>-261</v>
      </c>
    </row>
    <row r="494" spans="1:7" x14ac:dyDescent="0.25">
      <c r="A494" s="1">
        <v>45286</v>
      </c>
      <c r="B494">
        <v>56</v>
      </c>
      <c r="C494">
        <v>82</v>
      </c>
      <c r="D494">
        <v>68</v>
      </c>
      <c r="E494" s="2">
        <v>11217</v>
      </c>
      <c r="F494">
        <v>288</v>
      </c>
      <c r="G494">
        <f>Table1[[#This Row],[Children apprehended and placed in CBP custody*]]-Table1[[#This Row],[Children discharged from HHS Care]]</f>
        <v>-232</v>
      </c>
    </row>
    <row r="495" spans="1:7" x14ac:dyDescent="0.25">
      <c r="A495" s="1">
        <v>45285</v>
      </c>
      <c r="B495">
        <v>90</v>
      </c>
      <c r="C495">
        <v>196</v>
      </c>
      <c r="D495">
        <v>205</v>
      </c>
      <c r="E495" s="2">
        <v>11144</v>
      </c>
      <c r="F495">
        <v>347</v>
      </c>
      <c r="G495">
        <f>Table1[[#This Row],[Children apprehended and placed in CBP custody*]]-Table1[[#This Row],[Children discharged from HHS Care]]</f>
        <v>-257</v>
      </c>
    </row>
    <row r="496" spans="1:7" x14ac:dyDescent="0.25">
      <c r="A496" s="1">
        <v>45281</v>
      </c>
      <c r="B496">
        <v>128</v>
      </c>
      <c r="C496">
        <v>228</v>
      </c>
      <c r="D496">
        <v>177</v>
      </c>
      <c r="E496" s="2">
        <v>11375</v>
      </c>
      <c r="F496">
        <v>497</v>
      </c>
      <c r="G496">
        <f>Table1[[#This Row],[Children apprehended and placed in CBP custody*]]-Table1[[#This Row],[Children discharged from HHS Care]]</f>
        <v>-369</v>
      </c>
    </row>
    <row r="497" spans="1:7" x14ac:dyDescent="0.25">
      <c r="A497" s="1">
        <v>45280</v>
      </c>
      <c r="B497">
        <v>136</v>
      </c>
      <c r="C497">
        <v>246</v>
      </c>
      <c r="D497">
        <v>123</v>
      </c>
      <c r="E497" s="2">
        <v>11516</v>
      </c>
      <c r="F497">
        <v>390</v>
      </c>
      <c r="G497">
        <f>Table1[[#This Row],[Children apprehended and placed in CBP custody*]]-Table1[[#This Row],[Children discharged from HHS Care]]</f>
        <v>-254</v>
      </c>
    </row>
    <row r="498" spans="1:7" x14ac:dyDescent="0.25">
      <c r="A498" s="1">
        <v>45279</v>
      </c>
      <c r="B498">
        <v>105</v>
      </c>
      <c r="C498">
        <v>185</v>
      </c>
      <c r="D498">
        <v>158</v>
      </c>
      <c r="E498" s="2">
        <v>11291</v>
      </c>
      <c r="F498">
        <v>272</v>
      </c>
      <c r="G498">
        <f>Table1[[#This Row],[Children apprehended and placed in CBP custody*]]-Table1[[#This Row],[Children discharged from HHS Care]]</f>
        <v>-167</v>
      </c>
    </row>
    <row r="499" spans="1:7" x14ac:dyDescent="0.25">
      <c r="A499" s="1">
        <v>45278</v>
      </c>
      <c r="B499">
        <v>116</v>
      </c>
      <c r="C499">
        <v>188</v>
      </c>
      <c r="D499">
        <v>164</v>
      </c>
      <c r="E499" s="2">
        <v>11149</v>
      </c>
      <c r="F499">
        <v>364</v>
      </c>
      <c r="G499">
        <f>Table1[[#This Row],[Children apprehended and placed in CBP custody*]]-Table1[[#This Row],[Children discharged from HHS Care]]</f>
        <v>-248</v>
      </c>
    </row>
    <row r="500" spans="1:7" x14ac:dyDescent="0.25">
      <c r="A500" s="1">
        <v>45277</v>
      </c>
      <c r="B500">
        <v>80</v>
      </c>
      <c r="C500">
        <v>176</v>
      </c>
      <c r="D500">
        <v>125</v>
      </c>
      <c r="E500" s="2">
        <v>11092</v>
      </c>
      <c r="F500">
        <v>456</v>
      </c>
      <c r="G500">
        <f>Table1[[#This Row],[Children apprehended and placed in CBP custody*]]-Table1[[#This Row],[Children discharged from HHS Care]]</f>
        <v>-376</v>
      </c>
    </row>
    <row r="501" spans="1:7" x14ac:dyDescent="0.25">
      <c r="A501" s="1">
        <v>45274</v>
      </c>
      <c r="B501">
        <v>150</v>
      </c>
      <c r="C501">
        <v>157</v>
      </c>
      <c r="D501">
        <v>201</v>
      </c>
      <c r="E501" s="2">
        <v>11242</v>
      </c>
      <c r="F501">
        <v>396</v>
      </c>
      <c r="G501">
        <f>Table1[[#This Row],[Children apprehended and placed in CBP custody*]]-Table1[[#This Row],[Children discharged from HHS Care]]</f>
        <v>-246</v>
      </c>
    </row>
    <row r="502" spans="1:7" x14ac:dyDescent="0.25">
      <c r="A502" s="1">
        <v>45273</v>
      </c>
      <c r="B502">
        <v>116</v>
      </c>
      <c r="C502">
        <v>181</v>
      </c>
      <c r="D502">
        <v>182</v>
      </c>
      <c r="E502" s="2">
        <v>11192</v>
      </c>
      <c r="F502">
        <v>335</v>
      </c>
      <c r="G502">
        <f>Table1[[#This Row],[Children apprehended and placed in CBP custody*]]-Table1[[#This Row],[Children discharged from HHS Care]]</f>
        <v>-219</v>
      </c>
    </row>
    <row r="503" spans="1:7" x14ac:dyDescent="0.25">
      <c r="A503" s="1">
        <v>45272</v>
      </c>
      <c r="B503">
        <v>141</v>
      </c>
      <c r="C503">
        <v>173</v>
      </c>
      <c r="D503">
        <v>129</v>
      </c>
      <c r="E503" s="2">
        <v>11077</v>
      </c>
      <c r="F503">
        <v>259</v>
      </c>
      <c r="G503">
        <f>Table1[[#This Row],[Children apprehended and placed in CBP custody*]]-Table1[[#This Row],[Children discharged from HHS Care]]</f>
        <v>-118</v>
      </c>
    </row>
    <row r="504" spans="1:7" x14ac:dyDescent="0.25">
      <c r="A504" s="1">
        <v>45271</v>
      </c>
      <c r="B504">
        <v>96</v>
      </c>
      <c r="C504">
        <v>160</v>
      </c>
      <c r="D504">
        <v>233</v>
      </c>
      <c r="E504" s="2">
        <v>10998</v>
      </c>
      <c r="F504">
        <v>304</v>
      </c>
      <c r="G504">
        <f>Table1[[#This Row],[Children apprehended and placed in CBP custody*]]-Table1[[#This Row],[Children discharged from HHS Care]]</f>
        <v>-208</v>
      </c>
    </row>
    <row r="505" spans="1:7" x14ac:dyDescent="0.25">
      <c r="A505" s="1">
        <v>45270</v>
      </c>
      <c r="B505">
        <v>158</v>
      </c>
      <c r="C505">
        <v>226</v>
      </c>
      <c r="D505">
        <v>191</v>
      </c>
      <c r="E505" s="2">
        <v>10871</v>
      </c>
      <c r="F505">
        <v>411</v>
      </c>
      <c r="G505">
        <f>Table1[[#This Row],[Children apprehended and placed in CBP custody*]]-Table1[[#This Row],[Children discharged from HHS Care]]</f>
        <v>-253</v>
      </c>
    </row>
    <row r="506" spans="1:7" x14ac:dyDescent="0.25">
      <c r="A506" s="1">
        <v>45267</v>
      </c>
      <c r="B506">
        <v>141</v>
      </c>
      <c r="C506">
        <v>232</v>
      </c>
      <c r="D506">
        <v>188</v>
      </c>
      <c r="E506" s="2">
        <v>10897</v>
      </c>
      <c r="F506">
        <v>466</v>
      </c>
      <c r="G506">
        <f>Table1[[#This Row],[Children apprehended and placed in CBP custody*]]-Table1[[#This Row],[Children discharged from HHS Care]]</f>
        <v>-325</v>
      </c>
    </row>
    <row r="507" spans="1:7" x14ac:dyDescent="0.25">
      <c r="A507" s="1">
        <v>45266</v>
      </c>
      <c r="B507">
        <v>123</v>
      </c>
      <c r="C507">
        <v>233</v>
      </c>
      <c r="D507">
        <v>159</v>
      </c>
      <c r="E507" s="2">
        <v>10832</v>
      </c>
      <c r="F507">
        <v>376</v>
      </c>
      <c r="G507">
        <f>Table1[[#This Row],[Children apprehended and placed in CBP custody*]]-Table1[[#This Row],[Children discharged from HHS Care]]</f>
        <v>-253</v>
      </c>
    </row>
    <row r="508" spans="1:7" x14ac:dyDescent="0.25">
      <c r="A508" s="1">
        <v>45265</v>
      </c>
      <c r="B508">
        <v>123</v>
      </c>
      <c r="C508">
        <v>230</v>
      </c>
      <c r="D508">
        <v>167</v>
      </c>
      <c r="E508" s="2">
        <v>10761</v>
      </c>
      <c r="F508">
        <v>261</v>
      </c>
      <c r="G508">
        <f>Table1[[#This Row],[Children apprehended and placed in CBP custody*]]-Table1[[#This Row],[Children discharged from HHS Care]]</f>
        <v>-138</v>
      </c>
    </row>
    <row r="509" spans="1:7" x14ac:dyDescent="0.25">
      <c r="A509" s="1">
        <v>45264</v>
      </c>
      <c r="B509">
        <v>174</v>
      </c>
      <c r="C509">
        <v>208</v>
      </c>
      <c r="D509">
        <v>256</v>
      </c>
      <c r="E509" s="2">
        <v>10635</v>
      </c>
      <c r="F509">
        <v>273</v>
      </c>
      <c r="G509">
        <f>Table1[[#This Row],[Children apprehended and placed in CBP custody*]]-Table1[[#This Row],[Children discharged from HHS Care]]</f>
        <v>-99</v>
      </c>
    </row>
    <row r="510" spans="1:7" x14ac:dyDescent="0.25">
      <c r="A510" s="1">
        <v>45263</v>
      </c>
      <c r="B510">
        <v>132</v>
      </c>
      <c r="C510">
        <v>235</v>
      </c>
      <c r="D510">
        <v>197</v>
      </c>
      <c r="E510" s="2">
        <v>10579</v>
      </c>
      <c r="F510">
        <v>417</v>
      </c>
      <c r="G510">
        <f>Table1[[#This Row],[Children apprehended and placed in CBP custody*]]-Table1[[#This Row],[Children discharged from HHS Care]]</f>
        <v>-285</v>
      </c>
    </row>
    <row r="511" spans="1:7" x14ac:dyDescent="0.25">
      <c r="A511" s="1">
        <v>45260</v>
      </c>
      <c r="B511">
        <v>92</v>
      </c>
      <c r="C511">
        <v>124</v>
      </c>
      <c r="D511">
        <v>93</v>
      </c>
      <c r="E511" s="2">
        <v>10536</v>
      </c>
      <c r="F511">
        <v>320</v>
      </c>
      <c r="G511">
        <f>Table1[[#This Row],[Children apprehended and placed in CBP custody*]]-Table1[[#This Row],[Children discharged from HHS Care]]</f>
        <v>-228</v>
      </c>
    </row>
    <row r="512" spans="1:7" x14ac:dyDescent="0.25">
      <c r="A512" s="1">
        <v>45259</v>
      </c>
      <c r="B512">
        <v>68</v>
      </c>
      <c r="C512">
        <v>107</v>
      </c>
      <c r="D512">
        <v>102</v>
      </c>
      <c r="E512" s="2">
        <v>10398</v>
      </c>
      <c r="F512">
        <v>284</v>
      </c>
      <c r="G512">
        <f>Table1[[#This Row],[Children apprehended and placed in CBP custody*]]-Table1[[#This Row],[Children discharged from HHS Care]]</f>
        <v>-216</v>
      </c>
    </row>
    <row r="513" spans="1:7" x14ac:dyDescent="0.25">
      <c r="A513" s="1">
        <v>45258</v>
      </c>
      <c r="B513">
        <v>74</v>
      </c>
      <c r="C513">
        <v>103</v>
      </c>
      <c r="D513">
        <v>80</v>
      </c>
      <c r="E513" s="2">
        <v>10223</v>
      </c>
      <c r="F513">
        <v>223</v>
      </c>
      <c r="G513">
        <f>Table1[[#This Row],[Children apprehended and placed in CBP custody*]]-Table1[[#This Row],[Children discharged from HHS Care]]</f>
        <v>-149</v>
      </c>
    </row>
    <row r="514" spans="1:7" x14ac:dyDescent="0.25">
      <c r="A514" s="1">
        <v>45257</v>
      </c>
      <c r="B514">
        <v>56</v>
      </c>
      <c r="C514">
        <v>82</v>
      </c>
      <c r="D514">
        <v>68</v>
      </c>
      <c r="E514" s="2">
        <v>10123</v>
      </c>
      <c r="F514">
        <v>214</v>
      </c>
      <c r="G514">
        <f>Table1[[#This Row],[Children apprehended and placed in CBP custody*]]-Table1[[#This Row],[Children discharged from HHS Care]]</f>
        <v>-158</v>
      </c>
    </row>
    <row r="515" spans="1:7" x14ac:dyDescent="0.25">
      <c r="A515" s="1">
        <v>45256</v>
      </c>
      <c r="B515">
        <v>90</v>
      </c>
      <c r="C515">
        <v>196</v>
      </c>
      <c r="D515">
        <v>205</v>
      </c>
      <c r="E515" s="2">
        <v>9845</v>
      </c>
      <c r="F515">
        <v>312</v>
      </c>
      <c r="G515">
        <f>Table1[[#This Row],[Children apprehended and placed in CBP custody*]]-Table1[[#This Row],[Children discharged from HHS Care]]</f>
        <v>-222</v>
      </c>
    </row>
    <row r="516" spans="1:7" x14ac:dyDescent="0.25">
      <c r="A516" s="1">
        <v>45253</v>
      </c>
      <c r="B516">
        <v>128</v>
      </c>
      <c r="C516">
        <v>228</v>
      </c>
      <c r="D516">
        <v>177</v>
      </c>
      <c r="E516" s="2">
        <v>9838</v>
      </c>
      <c r="F516">
        <v>283</v>
      </c>
      <c r="G516">
        <f>Table1[[#This Row],[Children apprehended and placed in CBP custody*]]-Table1[[#This Row],[Children discharged from HHS Care]]</f>
        <v>-155</v>
      </c>
    </row>
    <row r="517" spans="1:7" x14ac:dyDescent="0.25">
      <c r="A517" s="1">
        <v>45251</v>
      </c>
      <c r="B517">
        <v>136</v>
      </c>
      <c r="C517">
        <v>246</v>
      </c>
      <c r="D517">
        <v>123</v>
      </c>
      <c r="E517" s="2">
        <v>9804</v>
      </c>
      <c r="F517">
        <v>250</v>
      </c>
      <c r="G517">
        <f>Table1[[#This Row],[Children apprehended and placed in CBP custody*]]-Table1[[#This Row],[Children discharged from HHS Care]]</f>
        <v>-114</v>
      </c>
    </row>
    <row r="518" spans="1:7" x14ac:dyDescent="0.25">
      <c r="A518" s="1">
        <v>45250</v>
      </c>
      <c r="B518">
        <v>105</v>
      </c>
      <c r="C518">
        <v>185</v>
      </c>
      <c r="D518">
        <v>158</v>
      </c>
      <c r="E518" s="2">
        <v>9638</v>
      </c>
      <c r="F518">
        <v>298</v>
      </c>
      <c r="G518">
        <f>Table1[[#This Row],[Children apprehended and placed in CBP custody*]]-Table1[[#This Row],[Children discharged from HHS Care]]</f>
        <v>-193</v>
      </c>
    </row>
    <row r="519" spans="1:7" x14ac:dyDescent="0.25">
      <c r="A519" s="1">
        <v>45249</v>
      </c>
      <c r="B519">
        <v>116</v>
      </c>
      <c r="C519">
        <v>188</v>
      </c>
      <c r="D519">
        <v>164</v>
      </c>
      <c r="E519" s="2">
        <v>9573</v>
      </c>
      <c r="F519">
        <v>435</v>
      </c>
      <c r="G519">
        <f>Table1[[#This Row],[Children apprehended and placed in CBP custody*]]-Table1[[#This Row],[Children discharged from HHS Care]]</f>
        <v>-319</v>
      </c>
    </row>
    <row r="520" spans="1:7" x14ac:dyDescent="0.25">
      <c r="A520" s="1">
        <v>45246</v>
      </c>
      <c r="B520">
        <v>80</v>
      </c>
      <c r="C520">
        <v>176</v>
      </c>
      <c r="D520">
        <v>125</v>
      </c>
      <c r="E520" s="2">
        <v>9762</v>
      </c>
      <c r="F520">
        <v>374</v>
      </c>
      <c r="G520">
        <f>Table1[[#This Row],[Children apprehended and placed in CBP custody*]]-Table1[[#This Row],[Children discharged from HHS Care]]</f>
        <v>-294</v>
      </c>
    </row>
    <row r="521" spans="1:7" x14ac:dyDescent="0.25">
      <c r="A521" s="1">
        <v>45245</v>
      </c>
      <c r="B521">
        <v>150</v>
      </c>
      <c r="C521">
        <v>157</v>
      </c>
      <c r="D521">
        <v>201</v>
      </c>
      <c r="E521" s="2">
        <v>9762</v>
      </c>
      <c r="F521">
        <v>316</v>
      </c>
      <c r="G521">
        <f>Table1[[#This Row],[Children apprehended and placed in CBP custody*]]-Table1[[#This Row],[Children discharged from HHS Care]]</f>
        <v>-166</v>
      </c>
    </row>
    <row r="522" spans="1:7" x14ac:dyDescent="0.25">
      <c r="A522" s="1">
        <v>45244</v>
      </c>
      <c r="B522">
        <v>116</v>
      </c>
      <c r="C522">
        <v>181</v>
      </c>
      <c r="D522">
        <v>182</v>
      </c>
      <c r="E522" s="2">
        <v>9665</v>
      </c>
      <c r="F522">
        <v>247</v>
      </c>
      <c r="G522">
        <f>Table1[[#This Row],[Children apprehended and placed in CBP custody*]]-Table1[[#This Row],[Children discharged from HHS Care]]</f>
        <v>-131</v>
      </c>
    </row>
    <row r="523" spans="1:7" x14ac:dyDescent="0.25">
      <c r="A523" s="1">
        <v>45243</v>
      </c>
      <c r="B523">
        <v>141</v>
      </c>
      <c r="C523">
        <v>173</v>
      </c>
      <c r="D523">
        <v>129</v>
      </c>
      <c r="E523" s="2">
        <v>9510</v>
      </c>
      <c r="F523">
        <v>287</v>
      </c>
      <c r="G523">
        <f>Table1[[#This Row],[Children apprehended and placed in CBP custody*]]-Table1[[#This Row],[Children discharged from HHS Care]]</f>
        <v>-146</v>
      </c>
    </row>
    <row r="524" spans="1:7" x14ac:dyDescent="0.25">
      <c r="A524" s="1">
        <v>45242</v>
      </c>
      <c r="B524">
        <v>96</v>
      </c>
      <c r="C524">
        <v>160</v>
      </c>
      <c r="D524">
        <v>233</v>
      </c>
      <c r="E524" s="2">
        <v>9477</v>
      </c>
      <c r="F524">
        <v>313</v>
      </c>
      <c r="G524">
        <f>Table1[[#This Row],[Children apprehended and placed in CBP custody*]]-Table1[[#This Row],[Children discharged from HHS Care]]</f>
        <v>-217</v>
      </c>
    </row>
    <row r="525" spans="1:7" x14ac:dyDescent="0.25">
      <c r="A525" s="1">
        <v>45238</v>
      </c>
      <c r="B525">
        <v>158</v>
      </c>
      <c r="C525">
        <v>226</v>
      </c>
      <c r="D525">
        <v>191</v>
      </c>
      <c r="E525" s="2">
        <v>9634</v>
      </c>
      <c r="F525">
        <v>310</v>
      </c>
      <c r="G525">
        <f>Table1[[#This Row],[Children apprehended and placed in CBP custody*]]-Table1[[#This Row],[Children discharged from HHS Care]]</f>
        <v>-152</v>
      </c>
    </row>
    <row r="526" spans="1:7" x14ac:dyDescent="0.25">
      <c r="A526" s="1">
        <v>45237</v>
      </c>
      <c r="B526">
        <v>141</v>
      </c>
      <c r="C526">
        <v>232</v>
      </c>
      <c r="D526">
        <v>188</v>
      </c>
      <c r="E526" s="2">
        <v>9483</v>
      </c>
      <c r="F526">
        <v>231</v>
      </c>
      <c r="G526">
        <f>Table1[[#This Row],[Children apprehended and placed in CBP custody*]]-Table1[[#This Row],[Children discharged from HHS Care]]</f>
        <v>-90</v>
      </c>
    </row>
    <row r="527" spans="1:7" x14ac:dyDescent="0.25">
      <c r="A527" s="1">
        <v>45236</v>
      </c>
      <c r="B527">
        <v>123</v>
      </c>
      <c r="C527">
        <v>233</v>
      </c>
      <c r="D527">
        <v>159</v>
      </c>
      <c r="E527" s="2">
        <v>9286</v>
      </c>
      <c r="F527">
        <v>316</v>
      </c>
      <c r="G527">
        <f>Table1[[#This Row],[Children apprehended and placed in CBP custody*]]-Table1[[#This Row],[Children discharged from HHS Care]]</f>
        <v>-193</v>
      </c>
    </row>
    <row r="528" spans="1:7" x14ac:dyDescent="0.25">
      <c r="A528" s="1">
        <v>45235</v>
      </c>
      <c r="B528">
        <v>123</v>
      </c>
      <c r="C528">
        <v>230</v>
      </c>
      <c r="D528">
        <v>167</v>
      </c>
      <c r="E528" s="2">
        <v>9273</v>
      </c>
      <c r="F528">
        <v>370</v>
      </c>
      <c r="G528">
        <f>Table1[[#This Row],[Children apprehended and placed in CBP custody*]]-Table1[[#This Row],[Children discharged from HHS Care]]</f>
        <v>-247</v>
      </c>
    </row>
    <row r="529" spans="1:7" x14ac:dyDescent="0.25">
      <c r="A529" s="1">
        <v>45232</v>
      </c>
      <c r="B529">
        <v>174</v>
      </c>
      <c r="C529">
        <v>208</v>
      </c>
      <c r="D529">
        <v>256</v>
      </c>
      <c r="E529" s="2">
        <v>9442</v>
      </c>
      <c r="F529">
        <v>330</v>
      </c>
      <c r="G529">
        <f>Table1[[#This Row],[Children apprehended and placed in CBP custody*]]-Table1[[#This Row],[Children discharged from HHS Care]]</f>
        <v>-156</v>
      </c>
    </row>
    <row r="530" spans="1:7" x14ac:dyDescent="0.25">
      <c r="A530" s="1">
        <v>45231</v>
      </c>
      <c r="B530">
        <v>132</v>
      </c>
      <c r="C530">
        <v>235</v>
      </c>
      <c r="D530">
        <v>197</v>
      </c>
      <c r="E530" s="2">
        <v>9250</v>
      </c>
      <c r="F530">
        <v>279</v>
      </c>
      <c r="G530">
        <f>Table1[[#This Row],[Children apprehended and placed in CBP custody*]]-Table1[[#This Row],[Children discharged from HHS Care]]</f>
        <v>-147</v>
      </c>
    </row>
    <row r="531" spans="1:7" x14ac:dyDescent="0.25">
      <c r="A531" s="1">
        <v>45230</v>
      </c>
      <c r="B531">
        <v>33</v>
      </c>
      <c r="C531">
        <v>53</v>
      </c>
      <c r="D531">
        <v>34</v>
      </c>
      <c r="E531" s="2">
        <v>9072</v>
      </c>
      <c r="F531">
        <v>295</v>
      </c>
      <c r="G531">
        <f>Table1[[#This Row],[Children apprehended and placed in CBP custody*]]-Table1[[#This Row],[Children discharged from HHS Care]]</f>
        <v>-262</v>
      </c>
    </row>
    <row r="532" spans="1:7" x14ac:dyDescent="0.25">
      <c r="A532" s="1">
        <v>45229</v>
      </c>
      <c r="B532">
        <v>29</v>
      </c>
      <c r="C532">
        <v>51</v>
      </c>
      <c r="D532">
        <v>11</v>
      </c>
      <c r="E532" s="2">
        <v>9026</v>
      </c>
      <c r="F532">
        <v>278</v>
      </c>
      <c r="G532">
        <f>Table1[[#This Row],[Children apprehended and placed in CBP custody*]]-Table1[[#This Row],[Children discharged from HHS Care]]</f>
        <v>-249</v>
      </c>
    </row>
    <row r="533" spans="1:7" x14ac:dyDescent="0.25">
      <c r="A533" s="1">
        <v>45228</v>
      </c>
      <c r="B533">
        <v>91</v>
      </c>
      <c r="C533">
        <v>75</v>
      </c>
      <c r="D533">
        <v>97</v>
      </c>
      <c r="E533" s="2">
        <v>8925</v>
      </c>
      <c r="F533">
        <v>418</v>
      </c>
      <c r="G533">
        <f>Table1[[#This Row],[Children apprehended and placed in CBP custody*]]-Table1[[#This Row],[Children discharged from HHS Care]]</f>
        <v>-327</v>
      </c>
    </row>
    <row r="534" spans="1:7" x14ac:dyDescent="0.25">
      <c r="A534" s="1">
        <v>45225</v>
      </c>
      <c r="B534">
        <v>62</v>
      </c>
      <c r="C534">
        <v>97</v>
      </c>
      <c r="D534">
        <v>52</v>
      </c>
      <c r="E534" s="2">
        <v>9235</v>
      </c>
      <c r="F534">
        <v>390</v>
      </c>
      <c r="G534">
        <f>Table1[[#This Row],[Children apprehended and placed in CBP custody*]]-Table1[[#This Row],[Children discharged from HHS Care]]</f>
        <v>-328</v>
      </c>
    </row>
    <row r="535" spans="1:7" x14ac:dyDescent="0.25">
      <c r="A535" s="1">
        <v>45224</v>
      </c>
      <c r="B535">
        <v>59</v>
      </c>
      <c r="C535">
        <v>64</v>
      </c>
      <c r="D535">
        <v>117</v>
      </c>
      <c r="E535" s="2">
        <v>9351</v>
      </c>
      <c r="F535">
        <v>293</v>
      </c>
      <c r="G535">
        <f>Table1[[#This Row],[Children apprehended and placed in CBP custody*]]-Table1[[#This Row],[Children discharged from HHS Care]]</f>
        <v>-234</v>
      </c>
    </row>
    <row r="536" spans="1:7" x14ac:dyDescent="0.25">
      <c r="A536" s="1">
        <v>45223</v>
      </c>
      <c r="B536">
        <v>84</v>
      </c>
      <c r="C536">
        <v>118</v>
      </c>
      <c r="D536">
        <v>136</v>
      </c>
      <c r="E536" s="2">
        <v>9396</v>
      </c>
      <c r="F536">
        <v>300</v>
      </c>
      <c r="G536">
        <f>Table1[[#This Row],[Children apprehended and placed in CBP custody*]]-Table1[[#This Row],[Children discharged from HHS Care]]</f>
        <v>-216</v>
      </c>
    </row>
    <row r="537" spans="1:7" x14ac:dyDescent="0.25">
      <c r="A537" s="1">
        <v>45222</v>
      </c>
      <c r="B537">
        <v>86</v>
      </c>
      <c r="C537">
        <v>152</v>
      </c>
      <c r="D537">
        <v>168</v>
      </c>
      <c r="E537" s="2">
        <v>9436</v>
      </c>
      <c r="F537">
        <v>327</v>
      </c>
      <c r="G537">
        <f>Table1[[#This Row],[Children apprehended and placed in CBP custody*]]-Table1[[#This Row],[Children discharged from HHS Care]]</f>
        <v>-241</v>
      </c>
    </row>
    <row r="538" spans="1:7" x14ac:dyDescent="0.25">
      <c r="A538" s="1">
        <v>45221</v>
      </c>
      <c r="B538">
        <v>106</v>
      </c>
      <c r="C538">
        <v>196</v>
      </c>
      <c r="D538">
        <v>131</v>
      </c>
      <c r="E538" s="2">
        <v>9506</v>
      </c>
      <c r="F538">
        <v>454</v>
      </c>
      <c r="G538">
        <f>Table1[[#This Row],[Children apprehended and placed in CBP custody*]]-Table1[[#This Row],[Children discharged from HHS Care]]</f>
        <v>-348</v>
      </c>
    </row>
    <row r="539" spans="1:7" x14ac:dyDescent="0.25">
      <c r="A539" s="1">
        <v>45218</v>
      </c>
      <c r="B539">
        <v>113</v>
      </c>
      <c r="C539">
        <v>162</v>
      </c>
      <c r="D539">
        <v>107</v>
      </c>
      <c r="E539" s="2">
        <v>10319</v>
      </c>
      <c r="F539">
        <v>406</v>
      </c>
      <c r="G539">
        <f>Table1[[#This Row],[Children apprehended and placed in CBP custody*]]-Table1[[#This Row],[Children discharged from HHS Care]]</f>
        <v>-293</v>
      </c>
    </row>
    <row r="540" spans="1:7" x14ac:dyDescent="0.25">
      <c r="A540" s="1">
        <v>45217</v>
      </c>
      <c r="B540">
        <v>92</v>
      </c>
      <c r="C540">
        <v>124</v>
      </c>
      <c r="D540">
        <v>93</v>
      </c>
      <c r="E540" s="2">
        <v>10511</v>
      </c>
      <c r="F540">
        <v>393</v>
      </c>
      <c r="G540">
        <f>Table1[[#This Row],[Children apprehended and placed in CBP custody*]]-Table1[[#This Row],[Children discharged from HHS Care]]</f>
        <v>-301</v>
      </c>
    </row>
    <row r="541" spans="1:7" x14ac:dyDescent="0.25">
      <c r="A541" s="1">
        <v>45216</v>
      </c>
      <c r="B541">
        <v>68</v>
      </c>
      <c r="C541">
        <v>107</v>
      </c>
      <c r="D541">
        <v>102</v>
      </c>
      <c r="E541" s="2">
        <v>10630</v>
      </c>
      <c r="F541">
        <v>315</v>
      </c>
      <c r="G541">
        <f>Table1[[#This Row],[Children apprehended and placed in CBP custody*]]-Table1[[#This Row],[Children discharged from HHS Care]]</f>
        <v>-247</v>
      </c>
    </row>
    <row r="542" spans="1:7" x14ac:dyDescent="0.25">
      <c r="A542" s="1">
        <v>45215</v>
      </c>
      <c r="B542">
        <v>74</v>
      </c>
      <c r="C542">
        <v>103</v>
      </c>
      <c r="D542">
        <v>80</v>
      </c>
      <c r="E542" s="2">
        <v>10629</v>
      </c>
      <c r="F542">
        <v>331</v>
      </c>
      <c r="G542">
        <f>Table1[[#This Row],[Children apprehended and placed in CBP custody*]]-Table1[[#This Row],[Children discharged from HHS Care]]</f>
        <v>-257</v>
      </c>
    </row>
    <row r="543" spans="1:7" x14ac:dyDescent="0.25">
      <c r="A543" s="1">
        <v>45214</v>
      </c>
      <c r="B543">
        <v>56</v>
      </c>
      <c r="C543">
        <v>82</v>
      </c>
      <c r="D543">
        <v>68</v>
      </c>
      <c r="E543" s="2">
        <v>10571</v>
      </c>
      <c r="F543">
        <v>434</v>
      </c>
      <c r="G543">
        <f>Table1[[#This Row],[Children apprehended and placed in CBP custody*]]-Table1[[#This Row],[Children discharged from HHS Care]]</f>
        <v>-378</v>
      </c>
    </row>
    <row r="544" spans="1:7" x14ac:dyDescent="0.25">
      <c r="A544" s="1">
        <v>45211</v>
      </c>
      <c r="B544">
        <v>38</v>
      </c>
      <c r="C544">
        <v>80</v>
      </c>
      <c r="D544">
        <v>82</v>
      </c>
      <c r="E544" s="2">
        <v>10992</v>
      </c>
      <c r="F544">
        <v>398</v>
      </c>
      <c r="G544">
        <f>Table1[[#This Row],[Children apprehended and placed in CBP custody*]]-Table1[[#This Row],[Children discharged from HHS Care]]</f>
        <v>-360</v>
      </c>
    </row>
    <row r="545" spans="1:7" x14ac:dyDescent="0.25">
      <c r="A545" s="1">
        <v>45210</v>
      </c>
      <c r="B545">
        <v>65</v>
      </c>
      <c r="C545">
        <v>83</v>
      </c>
      <c r="D545">
        <v>65</v>
      </c>
      <c r="E545" s="2">
        <v>10960</v>
      </c>
      <c r="F545">
        <v>266</v>
      </c>
      <c r="G545">
        <f>Table1[[#This Row],[Children apprehended and placed in CBP custody*]]-Table1[[#This Row],[Children discharged from HHS Care]]</f>
        <v>-201</v>
      </c>
    </row>
    <row r="546" spans="1:7" x14ac:dyDescent="0.25">
      <c r="A546" s="1">
        <v>45209</v>
      </c>
      <c r="B546">
        <v>41</v>
      </c>
      <c r="C546">
        <v>60</v>
      </c>
      <c r="D546">
        <v>71</v>
      </c>
      <c r="E546" s="2">
        <v>10910</v>
      </c>
      <c r="F546">
        <v>257</v>
      </c>
      <c r="G546">
        <f>Table1[[#This Row],[Children apprehended and placed in CBP custody*]]-Table1[[#This Row],[Children discharged from HHS Care]]</f>
        <v>-216</v>
      </c>
    </row>
    <row r="547" spans="1:7" x14ac:dyDescent="0.25">
      <c r="A547" s="1">
        <v>45208</v>
      </c>
      <c r="B547">
        <v>43</v>
      </c>
      <c r="C547">
        <v>73</v>
      </c>
      <c r="D547">
        <v>64</v>
      </c>
      <c r="E547" s="2">
        <v>10815</v>
      </c>
      <c r="F547">
        <v>282</v>
      </c>
      <c r="G547">
        <f>Table1[[#This Row],[Children apprehended and placed in CBP custody*]]-Table1[[#This Row],[Children discharged from HHS Care]]</f>
        <v>-239</v>
      </c>
    </row>
    <row r="548" spans="1:7" x14ac:dyDescent="0.25">
      <c r="A548" s="1">
        <v>45204</v>
      </c>
      <c r="B548">
        <v>35</v>
      </c>
      <c r="C548">
        <v>70</v>
      </c>
      <c r="D548">
        <v>53</v>
      </c>
      <c r="E548" s="2">
        <v>11130</v>
      </c>
      <c r="F548">
        <v>427</v>
      </c>
      <c r="G548">
        <f>Table1[[#This Row],[Children apprehended and placed in CBP custody*]]-Table1[[#This Row],[Children discharged from HHS Care]]</f>
        <v>-392</v>
      </c>
    </row>
    <row r="549" spans="1:7" x14ac:dyDescent="0.25">
      <c r="A549" s="1">
        <v>45203</v>
      </c>
      <c r="B549">
        <v>25</v>
      </c>
      <c r="C549">
        <v>66</v>
      </c>
      <c r="D549">
        <v>94</v>
      </c>
      <c r="E549" s="2">
        <v>10963</v>
      </c>
      <c r="F549">
        <v>330</v>
      </c>
      <c r="G549">
        <f>Table1[[#This Row],[Children apprehended and placed in CBP custody*]]-Table1[[#This Row],[Children discharged from HHS Care]]</f>
        <v>-305</v>
      </c>
    </row>
    <row r="550" spans="1:7" x14ac:dyDescent="0.25">
      <c r="A550" s="1">
        <v>45202</v>
      </c>
      <c r="B550">
        <v>99</v>
      </c>
      <c r="C550">
        <v>156</v>
      </c>
      <c r="D550">
        <v>139</v>
      </c>
      <c r="E550" s="2">
        <v>10818</v>
      </c>
      <c r="F550">
        <v>287</v>
      </c>
      <c r="G550">
        <f>Table1[[#This Row],[Children apprehended and placed in CBP custody*]]-Table1[[#This Row],[Children discharged from HHS Care]]</f>
        <v>-188</v>
      </c>
    </row>
    <row r="551" spans="1:7" x14ac:dyDescent="0.25">
      <c r="A551" s="1">
        <v>45201</v>
      </c>
      <c r="B551">
        <v>107</v>
      </c>
      <c r="C551">
        <v>170</v>
      </c>
      <c r="D551">
        <v>133</v>
      </c>
      <c r="E551" s="2">
        <v>10724</v>
      </c>
      <c r="F551">
        <v>284</v>
      </c>
      <c r="G551">
        <f>Table1[[#This Row],[Children apprehended and placed in CBP custody*]]-Table1[[#This Row],[Children discharged from HHS Care]]</f>
        <v>-177</v>
      </c>
    </row>
    <row r="552" spans="1:7" x14ac:dyDescent="0.25">
      <c r="A552" s="1">
        <v>45200</v>
      </c>
      <c r="B552">
        <v>80</v>
      </c>
      <c r="C552">
        <v>122</v>
      </c>
      <c r="D552">
        <v>152</v>
      </c>
      <c r="E552" s="2">
        <v>10598</v>
      </c>
      <c r="F552">
        <v>493</v>
      </c>
      <c r="G552">
        <f>Table1[[#This Row],[Children apprehended and placed in CBP custody*]]-Table1[[#This Row],[Children discharged from HHS Care]]</f>
        <v>-413</v>
      </c>
    </row>
    <row r="553" spans="1:7" x14ac:dyDescent="0.25">
      <c r="A553" s="1">
        <v>45197</v>
      </c>
      <c r="B553">
        <v>57</v>
      </c>
      <c r="C553">
        <v>162</v>
      </c>
      <c r="D553">
        <v>193</v>
      </c>
      <c r="E553" s="2">
        <v>10984</v>
      </c>
      <c r="F553">
        <v>447</v>
      </c>
      <c r="G553">
        <f>Table1[[#This Row],[Children apprehended and placed in CBP custody*]]-Table1[[#This Row],[Children discharged from HHS Care]]</f>
        <v>-390</v>
      </c>
    </row>
    <row r="554" spans="1:7" x14ac:dyDescent="0.25">
      <c r="A554" s="1">
        <v>45196</v>
      </c>
      <c r="B554">
        <v>161</v>
      </c>
      <c r="C554">
        <v>304</v>
      </c>
      <c r="D554">
        <v>211</v>
      </c>
      <c r="E554" s="2">
        <v>11017</v>
      </c>
      <c r="F554">
        <v>331</v>
      </c>
      <c r="G554">
        <f>Table1[[#This Row],[Children apprehended and placed in CBP custody*]]-Table1[[#This Row],[Children discharged from HHS Care]]</f>
        <v>-170</v>
      </c>
    </row>
    <row r="555" spans="1:7" x14ac:dyDescent="0.25">
      <c r="A555" s="1">
        <v>45195</v>
      </c>
      <c r="B555">
        <v>205</v>
      </c>
      <c r="C555">
        <v>294</v>
      </c>
      <c r="D555">
        <v>177</v>
      </c>
      <c r="E555" s="2">
        <v>10978</v>
      </c>
      <c r="F555">
        <v>332</v>
      </c>
      <c r="G555">
        <f>Table1[[#This Row],[Children apprehended and placed in CBP custody*]]-Table1[[#This Row],[Children discharged from HHS Care]]</f>
        <v>-127</v>
      </c>
    </row>
    <row r="556" spans="1:7" x14ac:dyDescent="0.25">
      <c r="A556" s="1">
        <v>45194</v>
      </c>
      <c r="B556">
        <v>100</v>
      </c>
      <c r="C556">
        <v>255</v>
      </c>
      <c r="D556">
        <v>236</v>
      </c>
      <c r="E556" s="2">
        <v>10842</v>
      </c>
      <c r="F556">
        <v>284</v>
      </c>
      <c r="G556">
        <f>Table1[[#This Row],[Children apprehended and placed in CBP custody*]]-Table1[[#This Row],[Children discharged from HHS Care]]</f>
        <v>-184</v>
      </c>
    </row>
    <row r="557" spans="1:7" x14ac:dyDescent="0.25">
      <c r="A557" s="1">
        <v>45193</v>
      </c>
      <c r="B557">
        <v>269</v>
      </c>
      <c r="C557">
        <v>412</v>
      </c>
      <c r="D557">
        <v>204</v>
      </c>
      <c r="E557" s="2">
        <v>10744</v>
      </c>
      <c r="F557">
        <v>403</v>
      </c>
      <c r="G557">
        <f>Table1[[#This Row],[Children apprehended and placed in CBP custody*]]-Table1[[#This Row],[Children discharged from HHS Care]]</f>
        <v>-134</v>
      </c>
    </row>
    <row r="558" spans="1:7" x14ac:dyDescent="0.25">
      <c r="A558" s="1">
        <v>45190</v>
      </c>
      <c r="B558">
        <v>168</v>
      </c>
      <c r="C558">
        <v>285</v>
      </c>
      <c r="D558">
        <v>210</v>
      </c>
      <c r="E558" s="2">
        <v>11067</v>
      </c>
      <c r="F558">
        <v>428</v>
      </c>
      <c r="G558">
        <f>Table1[[#This Row],[Children apprehended and placed in CBP custody*]]-Table1[[#This Row],[Children discharged from HHS Care]]</f>
        <v>-260</v>
      </c>
    </row>
    <row r="559" spans="1:7" x14ac:dyDescent="0.25">
      <c r="A559" s="1">
        <v>45189</v>
      </c>
      <c r="B559">
        <v>187</v>
      </c>
      <c r="C559">
        <v>310</v>
      </c>
      <c r="D559">
        <v>247</v>
      </c>
      <c r="E559" s="2">
        <v>11064</v>
      </c>
      <c r="F559">
        <v>364</v>
      </c>
      <c r="G559">
        <f>Table1[[#This Row],[Children apprehended and placed in CBP custody*]]-Table1[[#This Row],[Children discharged from HHS Care]]</f>
        <v>-177</v>
      </c>
    </row>
    <row r="560" spans="1:7" x14ac:dyDescent="0.25">
      <c r="A560" s="1">
        <v>45188</v>
      </c>
      <c r="B560">
        <v>133</v>
      </c>
      <c r="C560">
        <v>287</v>
      </c>
      <c r="D560">
        <v>189</v>
      </c>
      <c r="E560" s="2">
        <v>11095</v>
      </c>
      <c r="F560">
        <v>260</v>
      </c>
      <c r="G560">
        <f>Table1[[#This Row],[Children apprehended and placed in CBP custody*]]-Table1[[#This Row],[Children discharged from HHS Care]]</f>
        <v>-127</v>
      </c>
    </row>
    <row r="561" spans="1:7" x14ac:dyDescent="0.25">
      <c r="A561" s="1">
        <v>45187</v>
      </c>
      <c r="B561">
        <v>180</v>
      </c>
      <c r="C561">
        <v>337</v>
      </c>
      <c r="D561">
        <v>219</v>
      </c>
      <c r="E561" s="2">
        <v>10892</v>
      </c>
      <c r="F561">
        <v>313</v>
      </c>
      <c r="G561">
        <f>Table1[[#This Row],[Children apprehended and placed in CBP custody*]]-Table1[[#This Row],[Children discharged from HHS Care]]</f>
        <v>-133</v>
      </c>
    </row>
    <row r="562" spans="1:7" x14ac:dyDescent="0.25">
      <c r="A562" s="1">
        <v>45186</v>
      </c>
      <c r="B562">
        <v>153</v>
      </c>
      <c r="C562">
        <v>253</v>
      </c>
      <c r="D562">
        <v>286</v>
      </c>
      <c r="E562" s="2">
        <v>10799</v>
      </c>
      <c r="F562">
        <v>427</v>
      </c>
      <c r="G562">
        <f>Table1[[#This Row],[Children apprehended and placed in CBP custody*]]-Table1[[#This Row],[Children discharged from HHS Care]]</f>
        <v>-274</v>
      </c>
    </row>
    <row r="563" spans="1:7" x14ac:dyDescent="0.25">
      <c r="A563" s="1">
        <v>45183</v>
      </c>
      <c r="B563">
        <v>209</v>
      </c>
      <c r="C563">
        <v>353</v>
      </c>
      <c r="D563">
        <v>232</v>
      </c>
      <c r="E563" s="2">
        <v>10837</v>
      </c>
      <c r="F563">
        <v>414</v>
      </c>
      <c r="G563">
        <f>Table1[[#This Row],[Children apprehended and placed in CBP custody*]]-Table1[[#This Row],[Children discharged from HHS Care]]</f>
        <v>-205</v>
      </c>
    </row>
    <row r="564" spans="1:7" x14ac:dyDescent="0.25">
      <c r="A564" s="1">
        <v>45182</v>
      </c>
      <c r="B564">
        <v>167</v>
      </c>
      <c r="C564">
        <v>326</v>
      </c>
      <c r="D564">
        <v>213</v>
      </c>
      <c r="E564" s="2">
        <v>10678</v>
      </c>
      <c r="F564">
        <v>343</v>
      </c>
      <c r="G564">
        <f>Table1[[#This Row],[Children apprehended and placed in CBP custody*]]-Table1[[#This Row],[Children discharged from HHS Care]]</f>
        <v>-176</v>
      </c>
    </row>
    <row r="565" spans="1:7" x14ac:dyDescent="0.25">
      <c r="A565" s="1">
        <v>45181</v>
      </c>
      <c r="B565">
        <v>224</v>
      </c>
      <c r="C565">
        <v>315</v>
      </c>
      <c r="D565">
        <v>152</v>
      </c>
      <c r="E565" s="2">
        <v>10649</v>
      </c>
      <c r="F565">
        <v>316</v>
      </c>
      <c r="G565">
        <f>Table1[[#This Row],[Children apprehended and placed in CBP custody*]]-Table1[[#This Row],[Children discharged from HHS Care]]</f>
        <v>-92</v>
      </c>
    </row>
    <row r="566" spans="1:7" x14ac:dyDescent="0.25">
      <c r="A566" s="1">
        <v>45180</v>
      </c>
      <c r="B566">
        <v>132</v>
      </c>
      <c r="C566">
        <v>243</v>
      </c>
      <c r="D566">
        <v>183</v>
      </c>
      <c r="E566" s="2">
        <v>10492</v>
      </c>
      <c r="F566">
        <v>277</v>
      </c>
      <c r="G566">
        <f>Table1[[#This Row],[Children apprehended and placed in CBP custody*]]-Table1[[#This Row],[Children discharged from HHS Care]]</f>
        <v>-145</v>
      </c>
    </row>
    <row r="567" spans="1:7" x14ac:dyDescent="0.25">
      <c r="A567" s="1">
        <v>45179</v>
      </c>
      <c r="B567">
        <v>218</v>
      </c>
      <c r="C567">
        <v>283</v>
      </c>
      <c r="D567">
        <v>208</v>
      </c>
      <c r="E567" s="2">
        <v>10282</v>
      </c>
      <c r="F567">
        <v>382</v>
      </c>
      <c r="G567">
        <f>Table1[[#This Row],[Children apprehended and placed in CBP custody*]]-Table1[[#This Row],[Children discharged from HHS Care]]</f>
        <v>-164</v>
      </c>
    </row>
    <row r="568" spans="1:7" x14ac:dyDescent="0.25">
      <c r="A568" s="1">
        <v>45176</v>
      </c>
      <c r="B568">
        <v>118</v>
      </c>
      <c r="C568">
        <v>245</v>
      </c>
      <c r="D568">
        <v>160</v>
      </c>
      <c r="E568" s="2">
        <v>10419</v>
      </c>
      <c r="F568">
        <v>398</v>
      </c>
      <c r="G568">
        <f>Table1[[#This Row],[Children apprehended and placed in CBP custody*]]-Table1[[#This Row],[Children discharged from HHS Care]]</f>
        <v>-280</v>
      </c>
    </row>
    <row r="569" spans="1:7" x14ac:dyDescent="0.25">
      <c r="A569" s="1">
        <v>45175</v>
      </c>
      <c r="B569">
        <v>81</v>
      </c>
      <c r="C569">
        <v>230</v>
      </c>
      <c r="D569">
        <v>242</v>
      </c>
      <c r="E569" s="2">
        <v>10356</v>
      </c>
      <c r="F569">
        <v>291</v>
      </c>
      <c r="G569">
        <f>Table1[[#This Row],[Children apprehended and placed in CBP custody*]]-Table1[[#This Row],[Children discharged from HHS Care]]</f>
        <v>-210</v>
      </c>
    </row>
    <row r="570" spans="1:7" x14ac:dyDescent="0.25">
      <c r="A570" s="1">
        <v>45174</v>
      </c>
      <c r="B570">
        <v>236</v>
      </c>
      <c r="C570">
        <v>330</v>
      </c>
      <c r="D570">
        <v>222</v>
      </c>
      <c r="E570" s="2">
        <v>10142</v>
      </c>
      <c r="F570">
        <v>243</v>
      </c>
      <c r="G570">
        <f>Table1[[#This Row],[Children apprehended and placed in CBP custody*]]-Table1[[#This Row],[Children discharged from HHS Care]]</f>
        <v>-7</v>
      </c>
    </row>
    <row r="571" spans="1:7" x14ac:dyDescent="0.25">
      <c r="A571" s="1">
        <v>45173</v>
      </c>
      <c r="B571">
        <v>196</v>
      </c>
      <c r="C571">
        <v>306</v>
      </c>
      <c r="D571">
        <v>187</v>
      </c>
      <c r="E571" s="2">
        <v>9988</v>
      </c>
      <c r="F571">
        <v>293</v>
      </c>
      <c r="G571">
        <f>Table1[[#This Row],[Children apprehended and placed in CBP custody*]]-Table1[[#This Row],[Children discharged from HHS Care]]</f>
        <v>-97</v>
      </c>
    </row>
    <row r="572" spans="1:7" x14ac:dyDescent="0.25">
      <c r="A572" s="1">
        <v>45169</v>
      </c>
      <c r="B572">
        <v>113</v>
      </c>
      <c r="C572">
        <v>280</v>
      </c>
      <c r="D572">
        <v>237</v>
      </c>
      <c r="E572" s="2">
        <v>10140</v>
      </c>
      <c r="F572">
        <v>505</v>
      </c>
      <c r="G572">
        <f>Table1[[#This Row],[Children apprehended and placed in CBP custody*]]-Table1[[#This Row],[Children discharged from HHS Care]]</f>
        <v>-392</v>
      </c>
    </row>
    <row r="573" spans="1:7" x14ac:dyDescent="0.25">
      <c r="A573" s="1">
        <v>45168</v>
      </c>
      <c r="B573">
        <v>239</v>
      </c>
      <c r="C573">
        <v>367</v>
      </c>
      <c r="D573">
        <v>224</v>
      </c>
      <c r="E573" s="2">
        <v>10280</v>
      </c>
      <c r="F573">
        <v>366</v>
      </c>
      <c r="G573">
        <f>Table1[[#This Row],[Children apprehended and placed in CBP custody*]]-Table1[[#This Row],[Children discharged from HHS Care]]</f>
        <v>-127</v>
      </c>
    </row>
    <row r="574" spans="1:7" x14ac:dyDescent="0.25">
      <c r="A574" s="1">
        <v>45167</v>
      </c>
      <c r="B574">
        <v>152</v>
      </c>
      <c r="C574">
        <v>272</v>
      </c>
      <c r="D574">
        <v>214</v>
      </c>
      <c r="E574" s="2">
        <v>10180</v>
      </c>
      <c r="F574">
        <v>286</v>
      </c>
      <c r="G574">
        <f>Table1[[#This Row],[Children apprehended and placed in CBP custody*]]-Table1[[#This Row],[Children discharged from HHS Care]]</f>
        <v>-134</v>
      </c>
    </row>
    <row r="575" spans="1:7" x14ac:dyDescent="0.25">
      <c r="A575" s="1">
        <v>45166</v>
      </c>
      <c r="B575">
        <v>170</v>
      </c>
      <c r="C575">
        <v>297</v>
      </c>
      <c r="D575">
        <v>196</v>
      </c>
      <c r="E575" s="2">
        <v>10012</v>
      </c>
      <c r="F575">
        <v>388</v>
      </c>
      <c r="G575">
        <f>Table1[[#This Row],[Children apprehended and placed in CBP custody*]]-Table1[[#This Row],[Children discharged from HHS Care]]</f>
        <v>-218</v>
      </c>
    </row>
    <row r="576" spans="1:7" x14ac:dyDescent="0.25">
      <c r="A576" s="1">
        <v>45165</v>
      </c>
      <c r="B576">
        <v>191</v>
      </c>
      <c r="C576">
        <v>283</v>
      </c>
      <c r="D576">
        <v>192</v>
      </c>
      <c r="E576" s="2">
        <v>9873</v>
      </c>
      <c r="F576">
        <v>488</v>
      </c>
      <c r="G576">
        <f>Table1[[#This Row],[Children apprehended and placed in CBP custody*]]-Table1[[#This Row],[Children discharged from HHS Care]]</f>
        <v>-297</v>
      </c>
    </row>
    <row r="577" spans="1:7" x14ac:dyDescent="0.25">
      <c r="A577" s="1">
        <v>45162</v>
      </c>
      <c r="B577">
        <v>109</v>
      </c>
      <c r="C577">
        <v>214</v>
      </c>
      <c r="D577">
        <v>173</v>
      </c>
      <c r="E577" s="2">
        <v>10026</v>
      </c>
      <c r="F577">
        <v>443</v>
      </c>
      <c r="G577">
        <f>Table1[[#This Row],[Children apprehended and placed in CBP custody*]]-Table1[[#This Row],[Children discharged from HHS Care]]</f>
        <v>-334</v>
      </c>
    </row>
    <row r="578" spans="1:7" x14ac:dyDescent="0.25">
      <c r="A578" s="1">
        <v>45161</v>
      </c>
      <c r="B578">
        <v>155</v>
      </c>
      <c r="C578">
        <v>212</v>
      </c>
      <c r="D578">
        <v>181</v>
      </c>
      <c r="E578" s="2">
        <v>10071</v>
      </c>
      <c r="F578">
        <v>285</v>
      </c>
      <c r="G578">
        <f>Table1[[#This Row],[Children apprehended and placed in CBP custody*]]-Table1[[#This Row],[Children discharged from HHS Care]]</f>
        <v>-130</v>
      </c>
    </row>
    <row r="579" spans="1:7" x14ac:dyDescent="0.25">
      <c r="A579" s="1">
        <v>45160</v>
      </c>
      <c r="B579">
        <v>119</v>
      </c>
      <c r="C579">
        <v>209</v>
      </c>
      <c r="D579">
        <v>152</v>
      </c>
      <c r="E579" s="2">
        <v>9921</v>
      </c>
      <c r="F579">
        <v>230</v>
      </c>
      <c r="G579">
        <f>Table1[[#This Row],[Children apprehended and placed in CBP custody*]]-Table1[[#This Row],[Children discharged from HHS Care]]</f>
        <v>-111</v>
      </c>
    </row>
    <row r="580" spans="1:7" x14ac:dyDescent="0.25">
      <c r="A580" s="1">
        <v>45159</v>
      </c>
      <c r="B580">
        <v>143</v>
      </c>
      <c r="C580">
        <v>203</v>
      </c>
      <c r="D580">
        <v>163</v>
      </c>
      <c r="E580" s="2">
        <v>9668</v>
      </c>
      <c r="F580">
        <v>281</v>
      </c>
      <c r="G580">
        <f>Table1[[#This Row],[Children apprehended and placed in CBP custody*]]-Table1[[#This Row],[Children discharged from HHS Care]]</f>
        <v>-138</v>
      </c>
    </row>
    <row r="581" spans="1:7" x14ac:dyDescent="0.25">
      <c r="A581" s="1">
        <v>45158</v>
      </c>
      <c r="B581">
        <v>105</v>
      </c>
      <c r="C581">
        <v>210</v>
      </c>
      <c r="D581">
        <v>149</v>
      </c>
      <c r="E581" s="2">
        <v>9483</v>
      </c>
      <c r="F581">
        <v>390</v>
      </c>
      <c r="G581">
        <f>Table1[[#This Row],[Children apprehended and placed in CBP custody*]]-Table1[[#This Row],[Children discharged from HHS Care]]</f>
        <v>-285</v>
      </c>
    </row>
    <row r="582" spans="1:7" x14ac:dyDescent="0.25">
      <c r="A582" s="1">
        <v>45155</v>
      </c>
      <c r="B582">
        <v>119</v>
      </c>
      <c r="C582">
        <v>219</v>
      </c>
      <c r="D582">
        <v>210</v>
      </c>
      <c r="E582" s="2">
        <v>9694</v>
      </c>
      <c r="F582">
        <v>407</v>
      </c>
      <c r="G582">
        <f>Table1[[#This Row],[Children apprehended and placed in CBP custody*]]-Table1[[#This Row],[Children discharged from HHS Care]]</f>
        <v>-288</v>
      </c>
    </row>
    <row r="583" spans="1:7" x14ac:dyDescent="0.25">
      <c r="A583" s="1">
        <v>45154</v>
      </c>
      <c r="B583">
        <v>148</v>
      </c>
      <c r="C583">
        <v>245</v>
      </c>
      <c r="D583">
        <v>175</v>
      </c>
      <c r="E583" s="2">
        <v>9634</v>
      </c>
      <c r="F583">
        <v>288</v>
      </c>
      <c r="G583">
        <f>Table1[[#This Row],[Children apprehended and placed in CBP custody*]]-Table1[[#This Row],[Children discharged from HHS Care]]</f>
        <v>-140</v>
      </c>
    </row>
    <row r="584" spans="1:7" x14ac:dyDescent="0.25">
      <c r="A584" s="1">
        <v>45148</v>
      </c>
      <c r="B584">
        <v>142</v>
      </c>
      <c r="C584">
        <v>235</v>
      </c>
      <c r="D584">
        <v>139</v>
      </c>
      <c r="E584" s="2">
        <v>8914</v>
      </c>
      <c r="F584">
        <v>353</v>
      </c>
      <c r="G584">
        <f>Table1[[#This Row],[Children apprehended and placed in CBP custody*]]-Table1[[#This Row],[Children discharged from HHS Care]]</f>
        <v>-211</v>
      </c>
    </row>
    <row r="585" spans="1:7" x14ac:dyDescent="0.25">
      <c r="A585" s="1">
        <v>45147</v>
      </c>
      <c r="B585">
        <v>118</v>
      </c>
      <c r="C585">
        <v>139</v>
      </c>
      <c r="D585">
        <v>168</v>
      </c>
      <c r="E585" s="2">
        <v>8888</v>
      </c>
      <c r="F585">
        <v>251</v>
      </c>
      <c r="G585">
        <f>Table1[[#This Row],[Children apprehended and placed in CBP custody*]]-Table1[[#This Row],[Children discharged from HHS Care]]</f>
        <v>-133</v>
      </c>
    </row>
    <row r="586" spans="1:7" x14ac:dyDescent="0.25">
      <c r="A586" s="1">
        <v>45146</v>
      </c>
      <c r="B586">
        <v>125</v>
      </c>
      <c r="C586">
        <v>232</v>
      </c>
      <c r="D586">
        <v>192</v>
      </c>
      <c r="E586" s="2">
        <v>8725</v>
      </c>
      <c r="F586">
        <v>207</v>
      </c>
      <c r="G586">
        <f>Table1[[#This Row],[Children apprehended and placed in CBP custody*]]-Table1[[#This Row],[Children discharged from HHS Care]]</f>
        <v>-82</v>
      </c>
    </row>
    <row r="587" spans="1:7" x14ac:dyDescent="0.25">
      <c r="A587" s="1">
        <v>45145</v>
      </c>
      <c r="B587">
        <v>156</v>
      </c>
      <c r="C587">
        <v>256</v>
      </c>
      <c r="D587">
        <v>176</v>
      </c>
      <c r="E587" s="2">
        <v>8493</v>
      </c>
      <c r="F587">
        <v>202</v>
      </c>
      <c r="G587">
        <f>Table1[[#This Row],[Children apprehended and placed in CBP custody*]]-Table1[[#This Row],[Children discharged from HHS Care]]</f>
        <v>-46</v>
      </c>
    </row>
    <row r="588" spans="1:7" x14ac:dyDescent="0.25">
      <c r="A588" s="1">
        <v>45144</v>
      </c>
      <c r="B588">
        <v>109</v>
      </c>
      <c r="C588">
        <v>245</v>
      </c>
      <c r="D588">
        <v>159</v>
      </c>
      <c r="E588" s="2">
        <v>8298</v>
      </c>
      <c r="F588">
        <v>322</v>
      </c>
      <c r="G588">
        <f>Table1[[#This Row],[Children apprehended and placed in CBP custody*]]-Table1[[#This Row],[Children discharged from HHS Care]]</f>
        <v>-213</v>
      </c>
    </row>
    <row r="589" spans="1:7" x14ac:dyDescent="0.25">
      <c r="A589" s="1">
        <v>45141</v>
      </c>
      <c r="B589">
        <v>167</v>
      </c>
      <c r="C589">
        <v>209</v>
      </c>
      <c r="D589">
        <v>157</v>
      </c>
      <c r="E589" s="2">
        <v>8294</v>
      </c>
      <c r="F589">
        <v>339</v>
      </c>
      <c r="G589">
        <f>Table1[[#This Row],[Children apprehended and placed in CBP custody*]]-Table1[[#This Row],[Children discharged from HHS Care]]</f>
        <v>-172</v>
      </c>
    </row>
    <row r="590" spans="1:7" x14ac:dyDescent="0.25">
      <c r="A590" s="1">
        <v>45140</v>
      </c>
      <c r="B590">
        <v>84</v>
      </c>
      <c r="C590">
        <v>171</v>
      </c>
      <c r="D590">
        <v>157</v>
      </c>
      <c r="E590" s="2">
        <v>8261</v>
      </c>
      <c r="F590">
        <v>271</v>
      </c>
      <c r="G590">
        <f>Table1[[#This Row],[Children apprehended and placed in CBP custody*]]-Table1[[#This Row],[Children discharged from HHS Care]]</f>
        <v>-187</v>
      </c>
    </row>
    <row r="591" spans="1:7" x14ac:dyDescent="0.25">
      <c r="A591" s="1">
        <v>45139</v>
      </c>
      <c r="B591">
        <v>87</v>
      </c>
      <c r="C591">
        <v>246</v>
      </c>
      <c r="D591">
        <v>173</v>
      </c>
      <c r="E591" s="2">
        <v>8103</v>
      </c>
      <c r="F591">
        <v>168</v>
      </c>
      <c r="G591">
        <f>Table1[[#This Row],[Children apprehended and placed in CBP custody*]]-Table1[[#This Row],[Children discharged from HHS Care]]</f>
        <v>-81</v>
      </c>
    </row>
    <row r="592" spans="1:7" x14ac:dyDescent="0.25">
      <c r="A592" s="1">
        <v>45138</v>
      </c>
      <c r="B592">
        <v>136</v>
      </c>
      <c r="C592">
        <v>276</v>
      </c>
      <c r="D592">
        <v>178</v>
      </c>
      <c r="E592" s="2">
        <v>7800</v>
      </c>
      <c r="F592">
        <v>220</v>
      </c>
      <c r="G592">
        <f>Table1[[#This Row],[Children apprehended and placed in CBP custody*]]-Table1[[#This Row],[Children discharged from HHS Care]]</f>
        <v>-84</v>
      </c>
    </row>
    <row r="593" spans="1:7" x14ac:dyDescent="0.25">
      <c r="A593" s="1">
        <v>45137</v>
      </c>
      <c r="B593">
        <v>166</v>
      </c>
      <c r="C593">
        <v>277</v>
      </c>
      <c r="D593">
        <v>229</v>
      </c>
      <c r="E593" s="2">
        <v>7671</v>
      </c>
      <c r="F593">
        <v>305</v>
      </c>
      <c r="G593">
        <f>Table1[[#This Row],[Children apprehended and placed in CBP custody*]]-Table1[[#This Row],[Children discharged from HHS Care]]</f>
        <v>-139</v>
      </c>
    </row>
    <row r="594" spans="1:7" x14ac:dyDescent="0.25">
      <c r="A594" s="1">
        <v>45134</v>
      </c>
      <c r="B594">
        <v>110</v>
      </c>
      <c r="C594">
        <v>272</v>
      </c>
      <c r="D594">
        <v>193</v>
      </c>
      <c r="E594" s="2">
        <v>7754</v>
      </c>
      <c r="F594">
        <v>259</v>
      </c>
      <c r="G594">
        <f>Table1[[#This Row],[Children apprehended and placed in CBP custody*]]-Table1[[#This Row],[Children discharged from HHS Care]]</f>
        <v>-149</v>
      </c>
    </row>
    <row r="595" spans="1:7" x14ac:dyDescent="0.25">
      <c r="A595" s="1">
        <v>45133</v>
      </c>
      <c r="B595">
        <v>202</v>
      </c>
      <c r="C595">
        <v>313</v>
      </c>
      <c r="D595">
        <v>158</v>
      </c>
      <c r="E595" s="2">
        <v>7647</v>
      </c>
      <c r="F595">
        <v>215</v>
      </c>
      <c r="G595">
        <f>Table1[[#This Row],[Children apprehended and placed in CBP custody*]]-Table1[[#This Row],[Children discharged from HHS Care]]</f>
        <v>-13</v>
      </c>
    </row>
    <row r="596" spans="1:7" x14ac:dyDescent="0.25">
      <c r="A596" s="1">
        <v>45132</v>
      </c>
      <c r="B596">
        <v>134</v>
      </c>
      <c r="C596">
        <v>294</v>
      </c>
      <c r="D596">
        <v>186</v>
      </c>
      <c r="E596" s="2">
        <v>7510</v>
      </c>
      <c r="F596">
        <v>136</v>
      </c>
      <c r="G596">
        <f>Table1[[#This Row],[Children apprehended and placed in CBP custody*]]-Table1[[#This Row],[Children discharged from HHS Care]]</f>
        <v>-2</v>
      </c>
    </row>
    <row r="597" spans="1:7" x14ac:dyDescent="0.25">
      <c r="A597" s="1">
        <v>45131</v>
      </c>
      <c r="B597">
        <v>180</v>
      </c>
      <c r="C597">
        <v>280</v>
      </c>
      <c r="D597">
        <v>146</v>
      </c>
      <c r="E597" s="2">
        <v>7220</v>
      </c>
      <c r="F597">
        <v>187</v>
      </c>
      <c r="G597">
        <f>Table1[[#This Row],[Children apprehended and placed in CBP custody*]]-Table1[[#This Row],[Children discharged from HHS Care]]</f>
        <v>-7</v>
      </c>
    </row>
    <row r="598" spans="1:7" x14ac:dyDescent="0.25">
      <c r="A598" s="1">
        <v>45130</v>
      </c>
      <c r="B598">
        <v>108</v>
      </c>
      <c r="C598">
        <v>220</v>
      </c>
      <c r="D598">
        <v>213</v>
      </c>
      <c r="E598" s="2">
        <v>7052</v>
      </c>
      <c r="F598">
        <v>276</v>
      </c>
      <c r="G598">
        <f>Table1[[#This Row],[Children apprehended and placed in CBP custody*]]-Table1[[#This Row],[Children discharged from HHS Care]]</f>
        <v>-168</v>
      </c>
    </row>
    <row r="599" spans="1:7" x14ac:dyDescent="0.25">
      <c r="A599" s="1">
        <v>45127</v>
      </c>
      <c r="B599">
        <v>147</v>
      </c>
      <c r="C599">
        <v>276</v>
      </c>
      <c r="D599">
        <v>214</v>
      </c>
      <c r="E599" s="2">
        <v>7116</v>
      </c>
      <c r="F599">
        <v>281</v>
      </c>
      <c r="G599">
        <f>Table1[[#This Row],[Children apprehended and placed in CBP custody*]]-Table1[[#This Row],[Children discharged from HHS Care]]</f>
        <v>-134</v>
      </c>
    </row>
    <row r="600" spans="1:7" x14ac:dyDescent="0.25">
      <c r="A600" s="1">
        <v>45126</v>
      </c>
      <c r="B600">
        <v>104</v>
      </c>
      <c r="C600">
        <v>230</v>
      </c>
      <c r="D600">
        <v>206</v>
      </c>
      <c r="E600" s="2">
        <v>7001</v>
      </c>
      <c r="F600">
        <v>226</v>
      </c>
      <c r="G600">
        <f>Table1[[#This Row],[Children apprehended and placed in CBP custody*]]-Table1[[#This Row],[Children discharged from HHS Care]]</f>
        <v>-122</v>
      </c>
    </row>
    <row r="601" spans="1:7" x14ac:dyDescent="0.25">
      <c r="A601" s="1">
        <v>45125</v>
      </c>
      <c r="B601">
        <v>174</v>
      </c>
      <c r="C601">
        <v>285</v>
      </c>
      <c r="D601">
        <v>150</v>
      </c>
      <c r="E601" s="2">
        <v>6874</v>
      </c>
      <c r="F601">
        <v>181</v>
      </c>
      <c r="G601">
        <f>Table1[[#This Row],[Children apprehended and placed in CBP custody*]]-Table1[[#This Row],[Children discharged from HHS Care]]</f>
        <v>-7</v>
      </c>
    </row>
    <row r="602" spans="1:7" x14ac:dyDescent="0.25">
      <c r="A602" s="1">
        <v>45124</v>
      </c>
      <c r="B602">
        <v>113</v>
      </c>
      <c r="C602">
        <v>208</v>
      </c>
      <c r="D602">
        <v>159</v>
      </c>
      <c r="E602" s="2">
        <v>6632</v>
      </c>
      <c r="F602">
        <v>160</v>
      </c>
      <c r="G602">
        <f>Table1[[#This Row],[Children apprehended and placed in CBP custody*]]-Table1[[#This Row],[Children discharged from HHS Care]]</f>
        <v>-47</v>
      </c>
    </row>
    <row r="603" spans="1:7" x14ac:dyDescent="0.25">
      <c r="A603" s="1">
        <v>45123</v>
      </c>
      <c r="B603">
        <v>88</v>
      </c>
      <c r="C603">
        <v>214</v>
      </c>
      <c r="D603">
        <v>160</v>
      </c>
      <c r="E603" s="2">
        <v>6468</v>
      </c>
      <c r="F603">
        <v>218</v>
      </c>
      <c r="G603">
        <f>Table1[[#This Row],[Children apprehended and placed in CBP custody*]]-Table1[[#This Row],[Children discharged from HHS Care]]</f>
        <v>-130</v>
      </c>
    </row>
    <row r="604" spans="1:7" x14ac:dyDescent="0.25">
      <c r="A604" s="1">
        <v>45120</v>
      </c>
      <c r="B604">
        <v>130</v>
      </c>
      <c r="C604">
        <v>227</v>
      </c>
      <c r="D604">
        <v>192</v>
      </c>
      <c r="E604" s="2">
        <v>6604</v>
      </c>
      <c r="F604">
        <v>226</v>
      </c>
      <c r="G604">
        <f>Table1[[#This Row],[Children apprehended and placed in CBP custody*]]-Table1[[#This Row],[Children discharged from HHS Care]]</f>
        <v>-96</v>
      </c>
    </row>
    <row r="605" spans="1:7" x14ac:dyDescent="0.25">
      <c r="A605" s="1">
        <v>45119</v>
      </c>
      <c r="B605">
        <v>84</v>
      </c>
      <c r="C605">
        <v>158</v>
      </c>
      <c r="D605">
        <v>193</v>
      </c>
      <c r="E605" s="2">
        <v>6521</v>
      </c>
      <c r="F605">
        <v>210</v>
      </c>
      <c r="G605">
        <f>Table1[[#This Row],[Children apprehended and placed in CBP custody*]]-Table1[[#This Row],[Children discharged from HHS Care]]</f>
        <v>-126</v>
      </c>
    </row>
    <row r="606" spans="1:7" x14ac:dyDescent="0.25">
      <c r="A606" s="1">
        <v>45118</v>
      </c>
      <c r="B606">
        <v>115</v>
      </c>
      <c r="C606">
        <v>216</v>
      </c>
      <c r="D606">
        <v>169</v>
      </c>
      <c r="E606" s="2">
        <v>6498</v>
      </c>
      <c r="F606">
        <v>143</v>
      </c>
      <c r="G606">
        <f>Table1[[#This Row],[Children apprehended and placed in CBP custody*]]-Table1[[#This Row],[Children discharged from HHS Care]]</f>
        <v>-28</v>
      </c>
    </row>
    <row r="607" spans="1:7" x14ac:dyDescent="0.25">
      <c r="A607" s="1">
        <v>45117</v>
      </c>
      <c r="B607">
        <v>167</v>
      </c>
      <c r="C607">
        <v>239</v>
      </c>
      <c r="D607">
        <v>166</v>
      </c>
      <c r="E607" s="2">
        <v>6346</v>
      </c>
      <c r="F607">
        <v>163</v>
      </c>
      <c r="G607">
        <f>Table1[[#This Row],[Children apprehended and placed in CBP custody*]]-Table1[[#This Row],[Children discharged from HHS Care]]</f>
        <v>4</v>
      </c>
    </row>
    <row r="608" spans="1:7" x14ac:dyDescent="0.25">
      <c r="A608" s="1">
        <v>45116</v>
      </c>
      <c r="B608">
        <v>99</v>
      </c>
      <c r="C608">
        <v>190</v>
      </c>
      <c r="D608">
        <v>176</v>
      </c>
      <c r="E608" s="2">
        <v>6214</v>
      </c>
      <c r="F608">
        <v>196</v>
      </c>
      <c r="G608">
        <f>Table1[[#This Row],[Children apprehended and placed in CBP custody*]]-Table1[[#This Row],[Children discharged from HHS Care]]</f>
        <v>-97</v>
      </c>
    </row>
    <row r="609" spans="1:7" x14ac:dyDescent="0.25">
      <c r="A609" s="1">
        <v>45113</v>
      </c>
      <c r="B609">
        <v>101</v>
      </c>
      <c r="C609">
        <v>162</v>
      </c>
      <c r="D609">
        <v>178</v>
      </c>
      <c r="E609" s="2">
        <v>6239</v>
      </c>
      <c r="F609">
        <v>205</v>
      </c>
      <c r="G609">
        <f>Table1[[#This Row],[Children apprehended and placed in CBP custody*]]-Table1[[#This Row],[Children discharged from HHS Care]]</f>
        <v>-104</v>
      </c>
    </row>
    <row r="610" spans="1:7" x14ac:dyDescent="0.25">
      <c r="A610" s="1">
        <v>45112</v>
      </c>
      <c r="B610">
        <v>107</v>
      </c>
      <c r="C610">
        <v>215</v>
      </c>
      <c r="D610">
        <v>230</v>
      </c>
      <c r="E610" s="2">
        <v>6193</v>
      </c>
      <c r="F610">
        <v>167</v>
      </c>
      <c r="G610">
        <f>Table1[[#This Row],[Children apprehended and placed in CBP custody*]]-Table1[[#This Row],[Children discharged from HHS Care]]</f>
        <v>-60</v>
      </c>
    </row>
    <row r="611" spans="1:7" x14ac:dyDescent="0.25">
      <c r="A611" s="1">
        <v>45111</v>
      </c>
      <c r="B611">
        <v>184</v>
      </c>
      <c r="C611">
        <v>314</v>
      </c>
      <c r="D611">
        <v>217</v>
      </c>
      <c r="E611" s="2">
        <v>6127</v>
      </c>
      <c r="F611">
        <v>124</v>
      </c>
      <c r="G611">
        <f>Table1[[#This Row],[Children apprehended and placed in CBP custody*]]-Table1[[#This Row],[Children discharged from HHS Care]]</f>
        <v>60</v>
      </c>
    </row>
    <row r="612" spans="1:7" x14ac:dyDescent="0.25">
      <c r="A612" s="1">
        <v>45109</v>
      </c>
      <c r="B612">
        <v>209</v>
      </c>
      <c r="C612">
        <v>285</v>
      </c>
      <c r="D612">
        <v>184</v>
      </c>
      <c r="E612" s="2">
        <v>5903</v>
      </c>
      <c r="F612">
        <v>309</v>
      </c>
      <c r="G612">
        <f>Table1[[#This Row],[Children apprehended and placed in CBP custody*]]-Table1[[#This Row],[Children discharged from HHS Care]]</f>
        <v>-100</v>
      </c>
    </row>
    <row r="613" spans="1:7" x14ac:dyDescent="0.25">
      <c r="A613" s="1">
        <v>45106</v>
      </c>
      <c r="B613">
        <v>81</v>
      </c>
      <c r="C613">
        <v>213</v>
      </c>
      <c r="D613">
        <v>153</v>
      </c>
      <c r="E613" s="2">
        <v>6058</v>
      </c>
      <c r="F613">
        <v>213</v>
      </c>
      <c r="G613">
        <f>Table1[[#This Row],[Children apprehended and placed in CBP custody*]]-Table1[[#This Row],[Children discharged from HHS Care]]</f>
        <v>-132</v>
      </c>
    </row>
    <row r="614" spans="1:7" x14ac:dyDescent="0.25">
      <c r="A614" s="1">
        <v>45105</v>
      </c>
      <c r="B614">
        <v>91</v>
      </c>
      <c r="C614">
        <v>199</v>
      </c>
      <c r="D614">
        <v>172</v>
      </c>
      <c r="E614" s="2">
        <v>5999</v>
      </c>
      <c r="F614">
        <v>174</v>
      </c>
      <c r="G614">
        <f>Table1[[#This Row],[Children apprehended and placed in CBP custody*]]-Table1[[#This Row],[Children discharged from HHS Care]]</f>
        <v>-83</v>
      </c>
    </row>
    <row r="615" spans="1:7" x14ac:dyDescent="0.25">
      <c r="A615" s="1">
        <v>45104</v>
      </c>
      <c r="B615">
        <v>154</v>
      </c>
      <c r="C615">
        <v>225</v>
      </c>
      <c r="D615">
        <v>220</v>
      </c>
      <c r="E615" s="2">
        <v>5917</v>
      </c>
      <c r="F615">
        <v>155</v>
      </c>
      <c r="G615">
        <f>Table1[[#This Row],[Children apprehended and placed in CBP custody*]]-Table1[[#This Row],[Children discharged from HHS Care]]</f>
        <v>-1</v>
      </c>
    </row>
    <row r="616" spans="1:7" x14ac:dyDescent="0.25">
      <c r="A616" s="1">
        <v>45103</v>
      </c>
      <c r="B616">
        <v>186</v>
      </c>
      <c r="C616">
        <v>259</v>
      </c>
      <c r="D616">
        <v>172</v>
      </c>
      <c r="E616" s="2">
        <v>5819</v>
      </c>
      <c r="F616">
        <v>174</v>
      </c>
      <c r="G616">
        <f>Table1[[#This Row],[Children apprehended and placed in CBP custody*]]-Table1[[#This Row],[Children discharged from HHS Care]]</f>
        <v>12</v>
      </c>
    </row>
    <row r="617" spans="1:7" x14ac:dyDescent="0.25">
      <c r="A617" s="1">
        <v>45102</v>
      </c>
      <c r="B617">
        <v>92</v>
      </c>
      <c r="C617">
        <v>203</v>
      </c>
      <c r="D617">
        <v>173</v>
      </c>
      <c r="E617" s="2">
        <v>5766</v>
      </c>
      <c r="F617">
        <v>263</v>
      </c>
      <c r="G617">
        <f>Table1[[#This Row],[Children apprehended and placed in CBP custody*]]-Table1[[#This Row],[Children discharged from HHS Care]]</f>
        <v>-171</v>
      </c>
    </row>
    <row r="618" spans="1:7" x14ac:dyDescent="0.25">
      <c r="A618" s="1">
        <v>45099</v>
      </c>
      <c r="B618">
        <v>124</v>
      </c>
      <c r="C618">
        <v>234</v>
      </c>
      <c r="D618">
        <v>161</v>
      </c>
      <c r="E618" s="2">
        <v>5956</v>
      </c>
      <c r="F618">
        <v>207</v>
      </c>
      <c r="G618">
        <f>Table1[[#This Row],[Children apprehended and placed in CBP custody*]]-Table1[[#This Row],[Children discharged from HHS Care]]</f>
        <v>-83</v>
      </c>
    </row>
    <row r="619" spans="1:7" x14ac:dyDescent="0.25">
      <c r="A619" s="1">
        <v>45098</v>
      </c>
      <c r="B619">
        <v>93</v>
      </c>
      <c r="C619">
        <v>196</v>
      </c>
      <c r="D619">
        <v>169</v>
      </c>
      <c r="E619" s="2">
        <v>5922</v>
      </c>
      <c r="F619">
        <v>149</v>
      </c>
      <c r="G619">
        <f>Table1[[#This Row],[Children apprehended and placed in CBP custody*]]-Table1[[#This Row],[Children discharged from HHS Care]]</f>
        <v>-56</v>
      </c>
    </row>
    <row r="620" spans="1:7" x14ac:dyDescent="0.25">
      <c r="A620" s="1">
        <v>45097</v>
      </c>
      <c r="B620">
        <v>33</v>
      </c>
      <c r="C620">
        <v>53</v>
      </c>
      <c r="D620">
        <v>34</v>
      </c>
      <c r="E620" s="2">
        <v>5904</v>
      </c>
      <c r="F620">
        <v>134</v>
      </c>
      <c r="G620">
        <f>Table1[[#This Row],[Children apprehended and placed in CBP custody*]]-Table1[[#This Row],[Children discharged from HHS Care]]</f>
        <v>-101</v>
      </c>
    </row>
    <row r="621" spans="1:7" x14ac:dyDescent="0.25">
      <c r="A621" s="1">
        <v>45096</v>
      </c>
      <c r="B621">
        <v>29</v>
      </c>
      <c r="C621">
        <v>51</v>
      </c>
      <c r="D621">
        <v>11</v>
      </c>
      <c r="E621" s="2">
        <v>5679</v>
      </c>
      <c r="F621">
        <v>142</v>
      </c>
      <c r="G621">
        <f>Table1[[#This Row],[Children apprehended and placed in CBP custody*]]-Table1[[#This Row],[Children discharged from HHS Care]]</f>
        <v>-113</v>
      </c>
    </row>
    <row r="622" spans="1:7" x14ac:dyDescent="0.25">
      <c r="A622" s="1">
        <v>45092</v>
      </c>
      <c r="B622">
        <v>91</v>
      </c>
      <c r="C622">
        <v>75</v>
      </c>
      <c r="D622">
        <v>97</v>
      </c>
      <c r="E622" s="2">
        <v>6038</v>
      </c>
      <c r="F622">
        <v>272</v>
      </c>
      <c r="G622">
        <f>Table1[[#This Row],[Children apprehended and placed in CBP custody*]]-Table1[[#This Row],[Children discharged from HHS Care]]</f>
        <v>-181</v>
      </c>
    </row>
    <row r="623" spans="1:7" x14ac:dyDescent="0.25">
      <c r="A623" s="1">
        <v>45091</v>
      </c>
      <c r="B623">
        <v>62</v>
      </c>
      <c r="C623">
        <v>97</v>
      </c>
      <c r="D623">
        <v>52</v>
      </c>
      <c r="E623" s="2">
        <v>6065</v>
      </c>
      <c r="F623">
        <v>167</v>
      </c>
      <c r="G623">
        <f>Table1[[#This Row],[Children apprehended and placed in CBP custody*]]-Table1[[#This Row],[Children discharged from HHS Care]]</f>
        <v>-105</v>
      </c>
    </row>
    <row r="624" spans="1:7" x14ac:dyDescent="0.25">
      <c r="A624" s="1">
        <v>45090</v>
      </c>
      <c r="B624">
        <v>59</v>
      </c>
      <c r="C624">
        <v>64</v>
      </c>
      <c r="D624">
        <v>117</v>
      </c>
      <c r="E624" s="2">
        <v>6061</v>
      </c>
      <c r="F624">
        <v>146</v>
      </c>
      <c r="G624">
        <f>Table1[[#This Row],[Children apprehended and placed in CBP custody*]]-Table1[[#This Row],[Children discharged from HHS Care]]</f>
        <v>-87</v>
      </c>
    </row>
    <row r="625" spans="1:7" x14ac:dyDescent="0.25">
      <c r="A625" s="1">
        <v>45089</v>
      </c>
      <c r="B625">
        <v>84</v>
      </c>
      <c r="C625">
        <v>118</v>
      </c>
      <c r="D625">
        <v>136</v>
      </c>
      <c r="E625" s="2">
        <v>6021</v>
      </c>
      <c r="F625">
        <v>177</v>
      </c>
      <c r="G625">
        <f>Table1[[#This Row],[Children apprehended and placed in CBP custody*]]-Table1[[#This Row],[Children discharged from HHS Care]]</f>
        <v>-93</v>
      </c>
    </row>
    <row r="626" spans="1:7" x14ac:dyDescent="0.25">
      <c r="A626" s="1">
        <v>45088</v>
      </c>
      <c r="B626">
        <v>86</v>
      </c>
      <c r="C626">
        <v>152</v>
      </c>
      <c r="D626">
        <v>168</v>
      </c>
      <c r="E626" s="2">
        <v>6007</v>
      </c>
      <c r="F626">
        <v>238</v>
      </c>
      <c r="G626">
        <f>Table1[[#This Row],[Children apprehended and placed in CBP custody*]]-Table1[[#This Row],[Children discharged from HHS Care]]</f>
        <v>-152</v>
      </c>
    </row>
    <row r="627" spans="1:7" x14ac:dyDescent="0.25">
      <c r="A627" s="1">
        <v>45085</v>
      </c>
      <c r="B627">
        <v>106</v>
      </c>
      <c r="C627">
        <v>196</v>
      </c>
      <c r="D627">
        <v>131</v>
      </c>
      <c r="E627" s="2">
        <v>6446</v>
      </c>
      <c r="F627">
        <v>255</v>
      </c>
      <c r="G627">
        <f>Table1[[#This Row],[Children apprehended and placed in CBP custody*]]-Table1[[#This Row],[Children discharged from HHS Care]]</f>
        <v>-149</v>
      </c>
    </row>
    <row r="628" spans="1:7" x14ac:dyDescent="0.25">
      <c r="A628" s="1">
        <v>45084</v>
      </c>
      <c r="B628">
        <v>113</v>
      </c>
      <c r="C628">
        <v>162</v>
      </c>
      <c r="D628">
        <v>107</v>
      </c>
      <c r="E628" s="2">
        <v>6483</v>
      </c>
      <c r="F628">
        <v>208</v>
      </c>
      <c r="G628">
        <f>Table1[[#This Row],[Children apprehended and placed in CBP custody*]]-Table1[[#This Row],[Children discharged from HHS Care]]</f>
        <v>-95</v>
      </c>
    </row>
    <row r="629" spans="1:7" x14ac:dyDescent="0.25">
      <c r="A629" s="1">
        <v>45083</v>
      </c>
      <c r="B629">
        <v>92</v>
      </c>
      <c r="C629">
        <v>124</v>
      </c>
      <c r="D629">
        <v>93</v>
      </c>
      <c r="E629" s="2">
        <v>6508</v>
      </c>
      <c r="F629">
        <v>187</v>
      </c>
      <c r="G629">
        <f>Table1[[#This Row],[Children apprehended and placed in CBP custody*]]-Table1[[#This Row],[Children discharged from HHS Care]]</f>
        <v>-95</v>
      </c>
    </row>
    <row r="630" spans="1:7" x14ac:dyDescent="0.25">
      <c r="A630" s="1">
        <v>45082</v>
      </c>
      <c r="B630">
        <v>68</v>
      </c>
      <c r="C630">
        <v>107</v>
      </c>
      <c r="D630">
        <v>102</v>
      </c>
      <c r="E630" s="2">
        <v>6523</v>
      </c>
      <c r="F630">
        <v>189</v>
      </c>
      <c r="G630">
        <f>Table1[[#This Row],[Children apprehended and placed in CBP custody*]]-Table1[[#This Row],[Children discharged from HHS Care]]</f>
        <v>-121</v>
      </c>
    </row>
    <row r="631" spans="1:7" x14ac:dyDescent="0.25">
      <c r="A631" s="1">
        <v>45081</v>
      </c>
      <c r="B631">
        <v>74</v>
      </c>
      <c r="C631">
        <v>103</v>
      </c>
      <c r="D631">
        <v>80</v>
      </c>
      <c r="E631" s="2">
        <v>6555</v>
      </c>
      <c r="F631">
        <v>292</v>
      </c>
      <c r="G631">
        <f>Table1[[#This Row],[Children apprehended and placed in CBP custody*]]-Table1[[#This Row],[Children discharged from HHS Care]]</f>
        <v>-218</v>
      </c>
    </row>
    <row r="632" spans="1:7" x14ac:dyDescent="0.25">
      <c r="A632" s="1">
        <v>45078</v>
      </c>
      <c r="B632">
        <v>56</v>
      </c>
      <c r="C632">
        <v>82</v>
      </c>
      <c r="D632">
        <v>68</v>
      </c>
      <c r="E632" s="2">
        <v>7002</v>
      </c>
      <c r="F632">
        <v>287</v>
      </c>
      <c r="G632">
        <f>Table1[[#This Row],[Children apprehended and placed in CBP custody*]]-Table1[[#This Row],[Children discharged from HHS Care]]</f>
        <v>-231</v>
      </c>
    </row>
    <row r="633" spans="1:7" x14ac:dyDescent="0.25">
      <c r="A633" s="1">
        <v>45077</v>
      </c>
      <c r="B633">
        <v>38</v>
      </c>
      <c r="C633">
        <v>80</v>
      </c>
      <c r="D633">
        <v>82</v>
      </c>
      <c r="E633" s="2">
        <v>7053</v>
      </c>
      <c r="F633">
        <v>210</v>
      </c>
      <c r="G633">
        <f>Table1[[#This Row],[Children apprehended and placed in CBP custody*]]-Table1[[#This Row],[Children discharged from HHS Care]]</f>
        <v>-172</v>
      </c>
    </row>
    <row r="634" spans="1:7" x14ac:dyDescent="0.25">
      <c r="A634" s="1">
        <v>45076</v>
      </c>
      <c r="B634">
        <v>65</v>
      </c>
      <c r="C634">
        <v>83</v>
      </c>
      <c r="D634">
        <v>65</v>
      </c>
      <c r="E634" s="2">
        <v>7046</v>
      </c>
      <c r="F634">
        <v>168</v>
      </c>
      <c r="G634">
        <f>Table1[[#This Row],[Children apprehended and placed in CBP custody*]]-Table1[[#This Row],[Children discharged from HHS Care]]</f>
        <v>-103</v>
      </c>
    </row>
    <row r="635" spans="1:7" x14ac:dyDescent="0.25">
      <c r="A635" s="1">
        <v>45075</v>
      </c>
      <c r="B635">
        <v>41</v>
      </c>
      <c r="C635">
        <v>60</v>
      </c>
      <c r="D635">
        <v>71</v>
      </c>
      <c r="E635" s="2">
        <v>6996</v>
      </c>
      <c r="F635">
        <v>207</v>
      </c>
      <c r="G635">
        <f>Table1[[#This Row],[Children apprehended and placed in CBP custody*]]-Table1[[#This Row],[Children discharged from HHS Care]]</f>
        <v>-166</v>
      </c>
    </row>
    <row r="636" spans="1:7" x14ac:dyDescent="0.25">
      <c r="A636" s="1">
        <v>45071</v>
      </c>
      <c r="B636">
        <v>43</v>
      </c>
      <c r="C636">
        <v>73</v>
      </c>
      <c r="D636">
        <v>64</v>
      </c>
      <c r="E636" s="2">
        <v>7546</v>
      </c>
      <c r="F636">
        <v>408</v>
      </c>
      <c r="G636">
        <f>Table1[[#This Row],[Children apprehended and placed in CBP custody*]]-Table1[[#This Row],[Children discharged from HHS Care]]</f>
        <v>-365</v>
      </c>
    </row>
    <row r="637" spans="1:7" x14ac:dyDescent="0.25">
      <c r="A637" s="1">
        <v>45070</v>
      </c>
      <c r="B637">
        <v>35</v>
      </c>
      <c r="C637">
        <v>70</v>
      </c>
      <c r="D637">
        <v>53</v>
      </c>
      <c r="E637" s="2">
        <v>7709</v>
      </c>
      <c r="F637">
        <v>276</v>
      </c>
      <c r="G637">
        <f>Table1[[#This Row],[Children apprehended and placed in CBP custody*]]-Table1[[#This Row],[Children discharged from HHS Care]]</f>
        <v>-241</v>
      </c>
    </row>
    <row r="638" spans="1:7" x14ac:dyDescent="0.25">
      <c r="A638" s="1">
        <v>45069</v>
      </c>
      <c r="B638">
        <v>25</v>
      </c>
      <c r="C638">
        <v>66</v>
      </c>
      <c r="D638">
        <v>94</v>
      </c>
      <c r="E638" s="2">
        <v>7788</v>
      </c>
      <c r="F638">
        <v>246</v>
      </c>
      <c r="G638">
        <f>Table1[[#This Row],[Children apprehended and placed in CBP custody*]]-Table1[[#This Row],[Children discharged from HHS Care]]</f>
        <v>-221</v>
      </c>
    </row>
    <row r="639" spans="1:7" x14ac:dyDescent="0.25">
      <c r="A639" s="1">
        <v>45068</v>
      </c>
      <c r="B639">
        <v>99</v>
      </c>
      <c r="C639">
        <v>156</v>
      </c>
      <c r="D639">
        <v>139</v>
      </c>
      <c r="E639" s="2">
        <v>7848</v>
      </c>
      <c r="F639">
        <v>240</v>
      </c>
      <c r="G639">
        <f>Table1[[#This Row],[Children apprehended and placed in CBP custody*]]-Table1[[#This Row],[Children discharged from HHS Care]]</f>
        <v>-141</v>
      </c>
    </row>
    <row r="640" spans="1:7" x14ac:dyDescent="0.25">
      <c r="A640" s="1">
        <v>45067</v>
      </c>
      <c r="B640">
        <v>107</v>
      </c>
      <c r="C640">
        <v>170</v>
      </c>
      <c r="D640">
        <v>133</v>
      </c>
      <c r="E640" s="2">
        <v>7826</v>
      </c>
      <c r="F640">
        <v>343</v>
      </c>
      <c r="G640">
        <f>Table1[[#This Row],[Children apprehended and placed in CBP custody*]]-Table1[[#This Row],[Children discharged from HHS Care]]</f>
        <v>-236</v>
      </c>
    </row>
    <row r="641" spans="1:7" x14ac:dyDescent="0.25">
      <c r="A641" s="1">
        <v>45064</v>
      </c>
      <c r="B641">
        <v>80</v>
      </c>
      <c r="C641">
        <v>122</v>
      </c>
      <c r="D641">
        <v>152</v>
      </c>
      <c r="E641" s="2">
        <v>8474</v>
      </c>
      <c r="F641">
        <v>351</v>
      </c>
      <c r="G641">
        <f>Table1[[#This Row],[Children apprehended and placed in CBP custody*]]-Table1[[#This Row],[Children discharged from HHS Care]]</f>
        <v>-271</v>
      </c>
    </row>
    <row r="642" spans="1:7" x14ac:dyDescent="0.25">
      <c r="A642" s="1">
        <v>45063</v>
      </c>
      <c r="B642">
        <v>57</v>
      </c>
      <c r="C642">
        <v>162</v>
      </c>
      <c r="D642">
        <v>193</v>
      </c>
      <c r="E642" s="2">
        <v>8569</v>
      </c>
      <c r="F642">
        <v>307</v>
      </c>
      <c r="G642">
        <f>Table1[[#This Row],[Children apprehended and placed in CBP custody*]]-Table1[[#This Row],[Children discharged from HHS Care]]</f>
        <v>-250</v>
      </c>
    </row>
    <row r="643" spans="1:7" x14ac:dyDescent="0.25">
      <c r="A643" s="1">
        <v>45062</v>
      </c>
      <c r="B643">
        <v>161</v>
      </c>
      <c r="C643">
        <v>304</v>
      </c>
      <c r="D643">
        <v>211</v>
      </c>
      <c r="E643" s="2">
        <v>8572</v>
      </c>
      <c r="F643">
        <v>272</v>
      </c>
      <c r="G643">
        <f>Table1[[#This Row],[Children apprehended and placed in CBP custody*]]-Table1[[#This Row],[Children discharged from HHS Care]]</f>
        <v>-111</v>
      </c>
    </row>
    <row r="644" spans="1:7" x14ac:dyDescent="0.25">
      <c r="A644" s="1">
        <v>45061</v>
      </c>
      <c r="B644">
        <v>205</v>
      </c>
      <c r="C644">
        <v>294</v>
      </c>
      <c r="D644">
        <v>177</v>
      </c>
      <c r="E644" s="2">
        <v>8571</v>
      </c>
      <c r="F644">
        <v>277</v>
      </c>
      <c r="G644">
        <f>Table1[[#This Row],[Children apprehended and placed in CBP custody*]]-Table1[[#This Row],[Children discharged from HHS Care]]</f>
        <v>-72</v>
      </c>
    </row>
    <row r="645" spans="1:7" x14ac:dyDescent="0.25">
      <c r="A645" s="1">
        <v>45060</v>
      </c>
      <c r="B645">
        <v>100</v>
      </c>
      <c r="C645">
        <v>255</v>
      </c>
      <c r="D645">
        <v>236</v>
      </c>
      <c r="E645" s="2">
        <v>8445</v>
      </c>
      <c r="F645">
        <v>288</v>
      </c>
      <c r="G645">
        <f>Table1[[#This Row],[Children apprehended and placed in CBP custody*]]-Table1[[#This Row],[Children discharged from HHS Care]]</f>
        <v>-188</v>
      </c>
    </row>
    <row r="646" spans="1:7" x14ac:dyDescent="0.25">
      <c r="A646" s="1">
        <v>45057</v>
      </c>
      <c r="B646">
        <v>269</v>
      </c>
      <c r="C646">
        <v>412</v>
      </c>
      <c r="D646">
        <v>204</v>
      </c>
      <c r="E646" s="2">
        <v>8672</v>
      </c>
      <c r="F646">
        <v>392</v>
      </c>
      <c r="G646">
        <f>Table1[[#This Row],[Children apprehended and placed in CBP custody*]]-Table1[[#This Row],[Children discharged from HHS Care]]</f>
        <v>-123</v>
      </c>
    </row>
    <row r="647" spans="1:7" x14ac:dyDescent="0.25">
      <c r="A647" s="1">
        <v>45056</v>
      </c>
      <c r="B647">
        <v>168</v>
      </c>
      <c r="C647">
        <v>285</v>
      </c>
      <c r="D647">
        <v>210</v>
      </c>
      <c r="E647" s="2">
        <v>8681</v>
      </c>
      <c r="F647">
        <v>304</v>
      </c>
      <c r="G647">
        <f>Table1[[#This Row],[Children apprehended and placed in CBP custody*]]-Table1[[#This Row],[Children discharged from HHS Care]]</f>
        <v>-136</v>
      </c>
    </row>
    <row r="648" spans="1:7" x14ac:dyDescent="0.25">
      <c r="A648" s="1">
        <v>45055</v>
      </c>
      <c r="B648">
        <v>187</v>
      </c>
      <c r="C648">
        <v>310</v>
      </c>
      <c r="D648">
        <v>247</v>
      </c>
      <c r="E648" s="2">
        <v>8606</v>
      </c>
      <c r="F648">
        <v>250</v>
      </c>
      <c r="G648">
        <f>Table1[[#This Row],[Children apprehended and placed in CBP custody*]]-Table1[[#This Row],[Children discharged from HHS Care]]</f>
        <v>-63</v>
      </c>
    </row>
    <row r="649" spans="1:7" x14ac:dyDescent="0.25">
      <c r="A649" s="1">
        <v>45054</v>
      </c>
      <c r="B649">
        <v>133</v>
      </c>
      <c r="C649">
        <v>287</v>
      </c>
      <c r="D649">
        <v>189</v>
      </c>
      <c r="E649" s="2">
        <v>8590</v>
      </c>
      <c r="F649">
        <v>261</v>
      </c>
      <c r="G649">
        <f>Table1[[#This Row],[Children apprehended and placed in CBP custody*]]-Table1[[#This Row],[Children discharged from HHS Care]]</f>
        <v>-128</v>
      </c>
    </row>
    <row r="650" spans="1:7" x14ac:dyDescent="0.25">
      <c r="A650" s="1">
        <v>45053</v>
      </c>
      <c r="B650">
        <v>180</v>
      </c>
      <c r="C650">
        <v>337</v>
      </c>
      <c r="D650">
        <v>219</v>
      </c>
      <c r="E650" s="2">
        <v>8485</v>
      </c>
      <c r="F650">
        <v>375</v>
      </c>
      <c r="G650">
        <f>Table1[[#This Row],[Children apprehended and placed in CBP custody*]]-Table1[[#This Row],[Children discharged from HHS Care]]</f>
        <v>-195</v>
      </c>
    </row>
    <row r="651" spans="1:7" x14ac:dyDescent="0.25">
      <c r="A651" s="1">
        <v>45050</v>
      </c>
      <c r="B651">
        <v>153</v>
      </c>
      <c r="C651">
        <v>253</v>
      </c>
      <c r="D651">
        <v>286</v>
      </c>
      <c r="E651" s="2">
        <v>8790</v>
      </c>
      <c r="F651">
        <v>332</v>
      </c>
      <c r="G651">
        <f>Table1[[#This Row],[Children apprehended and placed in CBP custody*]]-Table1[[#This Row],[Children discharged from HHS Care]]</f>
        <v>-179</v>
      </c>
    </row>
    <row r="652" spans="1:7" x14ac:dyDescent="0.25">
      <c r="A652" s="1">
        <v>45049</v>
      </c>
      <c r="B652">
        <v>209</v>
      </c>
      <c r="C652">
        <v>353</v>
      </c>
      <c r="D652">
        <v>232</v>
      </c>
      <c r="E652" s="2">
        <v>8704</v>
      </c>
      <c r="F652">
        <v>267</v>
      </c>
      <c r="G652">
        <f>Table1[[#This Row],[Children apprehended and placed in CBP custody*]]-Table1[[#This Row],[Children discharged from HHS Care]]</f>
        <v>-58</v>
      </c>
    </row>
    <row r="653" spans="1:7" x14ac:dyDescent="0.25">
      <c r="A653" s="1">
        <v>45048</v>
      </c>
      <c r="B653">
        <v>167</v>
      </c>
      <c r="C653">
        <v>326</v>
      </c>
      <c r="D653">
        <v>213</v>
      </c>
      <c r="E653" s="2">
        <v>8654</v>
      </c>
      <c r="F653">
        <v>245</v>
      </c>
      <c r="G653">
        <f>Table1[[#This Row],[Children apprehended and placed in CBP custody*]]-Table1[[#This Row],[Children discharged from HHS Care]]</f>
        <v>-78</v>
      </c>
    </row>
    <row r="654" spans="1:7" x14ac:dyDescent="0.25">
      <c r="A654" s="1">
        <v>45047</v>
      </c>
      <c r="B654">
        <v>224</v>
      </c>
      <c r="C654">
        <v>315</v>
      </c>
      <c r="D654">
        <v>152</v>
      </c>
      <c r="E654" s="2">
        <v>8492</v>
      </c>
      <c r="F654">
        <v>237</v>
      </c>
      <c r="G654">
        <f>Table1[[#This Row],[Children apprehended and placed in CBP custody*]]-Table1[[#This Row],[Children discharged from HHS Care]]</f>
        <v>-13</v>
      </c>
    </row>
    <row r="655" spans="1:7" x14ac:dyDescent="0.25">
      <c r="A655" s="1">
        <v>45046</v>
      </c>
      <c r="B655">
        <v>132</v>
      </c>
      <c r="C655">
        <v>243</v>
      </c>
      <c r="D655">
        <v>183</v>
      </c>
      <c r="E655" s="2">
        <v>8352</v>
      </c>
      <c r="F655">
        <v>293</v>
      </c>
      <c r="G655">
        <f>Table1[[#This Row],[Children apprehended and placed in CBP custody*]]-Table1[[#This Row],[Children discharged from HHS Care]]</f>
        <v>-161</v>
      </c>
    </row>
    <row r="656" spans="1:7" x14ac:dyDescent="0.25">
      <c r="A656" s="1">
        <v>45043</v>
      </c>
      <c r="B656">
        <v>218</v>
      </c>
      <c r="C656">
        <v>283</v>
      </c>
      <c r="D656">
        <v>208</v>
      </c>
      <c r="E656" s="2">
        <v>8159</v>
      </c>
      <c r="F656">
        <v>310</v>
      </c>
      <c r="G656">
        <f>Table1[[#This Row],[Children apprehended and placed in CBP custody*]]-Table1[[#This Row],[Children discharged from HHS Care]]</f>
        <v>-92</v>
      </c>
    </row>
    <row r="657" spans="1:7" x14ac:dyDescent="0.25">
      <c r="A657" s="1">
        <v>45042</v>
      </c>
      <c r="B657">
        <v>118</v>
      </c>
      <c r="C657">
        <v>245</v>
      </c>
      <c r="D657">
        <v>160</v>
      </c>
      <c r="E657" s="2">
        <v>8117</v>
      </c>
      <c r="F657">
        <v>256</v>
      </c>
      <c r="G657">
        <f>Table1[[#This Row],[Children apprehended and placed in CBP custody*]]-Table1[[#This Row],[Children discharged from HHS Care]]</f>
        <v>-138</v>
      </c>
    </row>
    <row r="658" spans="1:7" x14ac:dyDescent="0.25">
      <c r="A658" s="1">
        <v>45041</v>
      </c>
      <c r="B658">
        <v>81</v>
      </c>
      <c r="C658">
        <v>230</v>
      </c>
      <c r="D658">
        <v>242</v>
      </c>
      <c r="E658" s="2">
        <v>8017</v>
      </c>
      <c r="F658">
        <v>202</v>
      </c>
      <c r="G658">
        <f>Table1[[#This Row],[Children apprehended and placed in CBP custody*]]-Table1[[#This Row],[Children discharged from HHS Care]]</f>
        <v>-121</v>
      </c>
    </row>
    <row r="659" spans="1:7" x14ac:dyDescent="0.25">
      <c r="A659" s="1">
        <v>45040</v>
      </c>
      <c r="B659">
        <v>236</v>
      </c>
      <c r="C659">
        <v>330</v>
      </c>
      <c r="D659">
        <v>222</v>
      </c>
      <c r="E659" s="2">
        <v>7796</v>
      </c>
      <c r="F659">
        <v>213</v>
      </c>
      <c r="G659">
        <f>Table1[[#This Row],[Children apprehended and placed in CBP custody*]]-Table1[[#This Row],[Children discharged from HHS Care]]</f>
        <v>23</v>
      </c>
    </row>
    <row r="660" spans="1:7" x14ac:dyDescent="0.25">
      <c r="A660" s="1">
        <v>45039</v>
      </c>
      <c r="B660">
        <v>196</v>
      </c>
      <c r="C660">
        <v>306</v>
      </c>
      <c r="D660">
        <v>187</v>
      </c>
      <c r="E660" s="2">
        <v>7534</v>
      </c>
      <c r="F660">
        <v>266</v>
      </c>
      <c r="G660">
        <f>Table1[[#This Row],[Children apprehended and placed in CBP custody*]]-Table1[[#This Row],[Children discharged from HHS Care]]</f>
        <v>-70</v>
      </c>
    </row>
    <row r="661" spans="1:7" x14ac:dyDescent="0.25">
      <c r="A661" s="1">
        <v>45036</v>
      </c>
      <c r="B661">
        <v>113</v>
      </c>
      <c r="C661">
        <v>280</v>
      </c>
      <c r="D661">
        <v>237</v>
      </c>
      <c r="E661" s="2">
        <v>7490</v>
      </c>
      <c r="F661">
        <v>320</v>
      </c>
      <c r="G661">
        <f>Table1[[#This Row],[Children apprehended and placed in CBP custody*]]-Table1[[#This Row],[Children discharged from HHS Care]]</f>
        <v>-207</v>
      </c>
    </row>
    <row r="662" spans="1:7" x14ac:dyDescent="0.25">
      <c r="A662" s="1">
        <v>45035</v>
      </c>
      <c r="B662">
        <v>239</v>
      </c>
      <c r="C662">
        <v>367</v>
      </c>
      <c r="D662">
        <v>224</v>
      </c>
      <c r="E662" s="2">
        <v>7356</v>
      </c>
      <c r="F662">
        <v>229</v>
      </c>
      <c r="G662">
        <f>Table1[[#This Row],[Children apprehended and placed in CBP custody*]]-Table1[[#This Row],[Children discharged from HHS Care]]</f>
        <v>10</v>
      </c>
    </row>
    <row r="663" spans="1:7" x14ac:dyDescent="0.25">
      <c r="A663" s="1">
        <v>45034</v>
      </c>
      <c r="B663">
        <v>152</v>
      </c>
      <c r="C663">
        <v>272</v>
      </c>
      <c r="D663">
        <v>214</v>
      </c>
      <c r="E663" s="2">
        <v>7376</v>
      </c>
      <c r="F663">
        <v>234</v>
      </c>
      <c r="G663">
        <f>Table1[[#This Row],[Children apprehended and placed in CBP custody*]]-Table1[[#This Row],[Children discharged from HHS Care]]</f>
        <v>-82</v>
      </c>
    </row>
    <row r="664" spans="1:7" x14ac:dyDescent="0.25">
      <c r="A664" s="1">
        <v>45033</v>
      </c>
      <c r="B664">
        <v>170</v>
      </c>
      <c r="C664">
        <v>297</v>
      </c>
      <c r="D664">
        <v>196</v>
      </c>
      <c r="E664" s="2">
        <v>7344</v>
      </c>
      <c r="F664">
        <v>248</v>
      </c>
      <c r="G664">
        <f>Table1[[#This Row],[Children apprehended and placed in CBP custody*]]-Table1[[#This Row],[Children discharged from HHS Care]]</f>
        <v>-78</v>
      </c>
    </row>
    <row r="665" spans="1:7" x14ac:dyDescent="0.25">
      <c r="A665" s="1">
        <v>45032</v>
      </c>
      <c r="B665">
        <v>191</v>
      </c>
      <c r="C665">
        <v>283</v>
      </c>
      <c r="D665">
        <v>192</v>
      </c>
      <c r="E665" s="2">
        <v>7380</v>
      </c>
      <c r="F665">
        <v>272</v>
      </c>
      <c r="G665">
        <f>Table1[[#This Row],[Children apprehended and placed in CBP custody*]]-Table1[[#This Row],[Children discharged from HHS Care]]</f>
        <v>-81</v>
      </c>
    </row>
    <row r="666" spans="1:7" x14ac:dyDescent="0.25">
      <c r="A666" s="1">
        <v>45029</v>
      </c>
      <c r="B666">
        <v>109</v>
      </c>
      <c r="C666">
        <v>214</v>
      </c>
      <c r="D666">
        <v>173</v>
      </c>
      <c r="E666" s="2">
        <v>7795</v>
      </c>
      <c r="F666">
        <v>370</v>
      </c>
      <c r="G666">
        <f>Table1[[#This Row],[Children apprehended and placed in CBP custody*]]-Table1[[#This Row],[Children discharged from HHS Care]]</f>
        <v>-261</v>
      </c>
    </row>
    <row r="667" spans="1:7" x14ac:dyDescent="0.25">
      <c r="A667" s="1">
        <v>45028</v>
      </c>
      <c r="B667">
        <v>155</v>
      </c>
      <c r="C667">
        <v>212</v>
      </c>
      <c r="D667">
        <v>181</v>
      </c>
      <c r="E667" s="2">
        <v>7876</v>
      </c>
      <c r="F667">
        <v>283</v>
      </c>
      <c r="G667">
        <f>Table1[[#This Row],[Children apprehended and placed in CBP custody*]]-Table1[[#This Row],[Children discharged from HHS Care]]</f>
        <v>-128</v>
      </c>
    </row>
    <row r="668" spans="1:7" x14ac:dyDescent="0.25">
      <c r="A668" s="1">
        <v>45027</v>
      </c>
      <c r="B668">
        <v>119</v>
      </c>
      <c r="C668">
        <v>209</v>
      </c>
      <c r="D668">
        <v>152</v>
      </c>
      <c r="E668" s="2">
        <v>7922</v>
      </c>
      <c r="F668">
        <v>187</v>
      </c>
      <c r="G668">
        <f>Table1[[#This Row],[Children apprehended and placed in CBP custody*]]-Table1[[#This Row],[Children discharged from HHS Care]]</f>
        <v>-68</v>
      </c>
    </row>
    <row r="669" spans="1:7" x14ac:dyDescent="0.25">
      <c r="A669" s="1">
        <v>45026</v>
      </c>
      <c r="B669">
        <v>143</v>
      </c>
      <c r="C669">
        <v>203</v>
      </c>
      <c r="D669">
        <v>163</v>
      </c>
      <c r="E669" s="2">
        <v>7826</v>
      </c>
      <c r="F669">
        <v>265</v>
      </c>
      <c r="G669">
        <f>Table1[[#This Row],[Children apprehended and placed in CBP custody*]]-Table1[[#This Row],[Children discharged from HHS Care]]</f>
        <v>-122</v>
      </c>
    </row>
    <row r="670" spans="1:7" x14ac:dyDescent="0.25">
      <c r="A670" s="1">
        <v>45025</v>
      </c>
      <c r="B670">
        <v>105</v>
      </c>
      <c r="C670">
        <v>210</v>
      </c>
      <c r="D670">
        <v>149</v>
      </c>
      <c r="E670" s="2">
        <v>7900</v>
      </c>
      <c r="F670">
        <v>329</v>
      </c>
      <c r="G670">
        <f>Table1[[#This Row],[Children apprehended and placed in CBP custody*]]-Table1[[#This Row],[Children discharged from HHS Care]]</f>
        <v>-224</v>
      </c>
    </row>
    <row r="671" spans="1:7" x14ac:dyDescent="0.25">
      <c r="A671" s="1">
        <v>45022</v>
      </c>
      <c r="B671">
        <v>119</v>
      </c>
      <c r="C671">
        <v>219</v>
      </c>
      <c r="D671">
        <v>210</v>
      </c>
      <c r="E671" s="2">
        <v>8178</v>
      </c>
      <c r="F671">
        <v>284</v>
      </c>
      <c r="G671">
        <f>Table1[[#This Row],[Children apprehended and placed in CBP custody*]]-Table1[[#This Row],[Children discharged from HHS Care]]</f>
        <v>-165</v>
      </c>
    </row>
    <row r="672" spans="1:7" x14ac:dyDescent="0.25">
      <c r="A672" s="1">
        <v>45021</v>
      </c>
      <c r="B672">
        <v>148</v>
      </c>
      <c r="C672">
        <v>245</v>
      </c>
      <c r="D672">
        <v>175</v>
      </c>
      <c r="E672" s="2">
        <v>8175</v>
      </c>
      <c r="F672">
        <v>260</v>
      </c>
      <c r="G672">
        <f>Table1[[#This Row],[Children apprehended and placed in CBP custody*]]-Table1[[#This Row],[Children discharged from HHS Care]]</f>
        <v>-112</v>
      </c>
    </row>
    <row r="673" spans="1:7" x14ac:dyDescent="0.25">
      <c r="A673" s="1">
        <v>45020</v>
      </c>
      <c r="B673">
        <v>142</v>
      </c>
      <c r="C673">
        <v>235</v>
      </c>
      <c r="D673">
        <v>139</v>
      </c>
      <c r="E673" s="2">
        <v>8068</v>
      </c>
      <c r="F673">
        <v>259</v>
      </c>
      <c r="G673">
        <f>Table1[[#This Row],[Children apprehended and placed in CBP custody*]]-Table1[[#This Row],[Children discharged from HHS Care]]</f>
        <v>-117</v>
      </c>
    </row>
    <row r="674" spans="1:7" x14ac:dyDescent="0.25">
      <c r="A674" s="1">
        <v>45019</v>
      </c>
      <c r="B674">
        <v>118</v>
      </c>
      <c r="C674">
        <v>139</v>
      </c>
      <c r="D674">
        <v>168</v>
      </c>
      <c r="E674" s="2">
        <v>8054</v>
      </c>
      <c r="F674">
        <v>284</v>
      </c>
      <c r="G674">
        <f>Table1[[#This Row],[Children apprehended and placed in CBP custody*]]-Table1[[#This Row],[Children discharged from HHS Care]]</f>
        <v>-166</v>
      </c>
    </row>
    <row r="675" spans="1:7" x14ac:dyDescent="0.25">
      <c r="A675" s="1">
        <v>45018</v>
      </c>
      <c r="B675">
        <v>125</v>
      </c>
      <c r="C675">
        <v>232</v>
      </c>
      <c r="D675">
        <v>192</v>
      </c>
      <c r="E675" s="2">
        <v>7981</v>
      </c>
      <c r="F675">
        <v>304</v>
      </c>
      <c r="G675">
        <f>Table1[[#This Row],[Children apprehended and placed in CBP custody*]]-Table1[[#This Row],[Children discharged from HHS Care]]</f>
        <v>-179</v>
      </c>
    </row>
    <row r="676" spans="1:7" x14ac:dyDescent="0.25">
      <c r="A676" s="1">
        <v>45015</v>
      </c>
      <c r="B676">
        <v>156</v>
      </c>
      <c r="C676">
        <v>256</v>
      </c>
      <c r="D676">
        <v>176</v>
      </c>
      <c r="E676" s="2">
        <v>8158</v>
      </c>
      <c r="F676">
        <v>359</v>
      </c>
      <c r="G676">
        <f>Table1[[#This Row],[Children apprehended and placed in CBP custody*]]-Table1[[#This Row],[Children discharged from HHS Care]]</f>
        <v>-203</v>
      </c>
    </row>
    <row r="677" spans="1:7" x14ac:dyDescent="0.25">
      <c r="A677" s="1">
        <v>45014</v>
      </c>
      <c r="B677">
        <v>109</v>
      </c>
      <c r="C677">
        <v>245</v>
      </c>
      <c r="D677">
        <v>159</v>
      </c>
      <c r="E677" s="2">
        <v>8208</v>
      </c>
      <c r="F677">
        <v>267</v>
      </c>
      <c r="G677">
        <f>Table1[[#This Row],[Children apprehended and placed in CBP custody*]]-Table1[[#This Row],[Children discharged from HHS Care]]</f>
        <v>-158</v>
      </c>
    </row>
    <row r="678" spans="1:7" x14ac:dyDescent="0.25">
      <c r="A678" s="1">
        <v>45013</v>
      </c>
      <c r="B678">
        <v>167</v>
      </c>
      <c r="C678">
        <v>209</v>
      </c>
      <c r="D678">
        <v>157</v>
      </c>
      <c r="E678" s="2">
        <v>8079</v>
      </c>
      <c r="F678">
        <v>223</v>
      </c>
      <c r="G678">
        <f>Table1[[#This Row],[Children apprehended and placed in CBP custody*]]-Table1[[#This Row],[Children discharged from HHS Care]]</f>
        <v>-56</v>
      </c>
    </row>
    <row r="679" spans="1:7" x14ac:dyDescent="0.25">
      <c r="A679" s="1">
        <v>45012</v>
      </c>
      <c r="B679">
        <v>84</v>
      </c>
      <c r="C679">
        <v>171</v>
      </c>
      <c r="D679">
        <v>157</v>
      </c>
      <c r="E679" s="2">
        <v>7994</v>
      </c>
      <c r="F679">
        <v>235</v>
      </c>
      <c r="G679">
        <f>Table1[[#This Row],[Children apprehended and placed in CBP custody*]]-Table1[[#This Row],[Children discharged from HHS Care]]</f>
        <v>-151</v>
      </c>
    </row>
    <row r="680" spans="1:7" x14ac:dyDescent="0.25">
      <c r="A680" s="1">
        <v>45011</v>
      </c>
      <c r="B680">
        <v>87</v>
      </c>
      <c r="C680">
        <v>246</v>
      </c>
      <c r="D680">
        <v>173</v>
      </c>
      <c r="E680" s="2">
        <v>7847</v>
      </c>
      <c r="F680">
        <v>352</v>
      </c>
      <c r="G680">
        <f>Table1[[#This Row],[Children apprehended and placed in CBP custody*]]-Table1[[#This Row],[Children discharged from HHS Care]]</f>
        <v>-265</v>
      </c>
    </row>
    <row r="681" spans="1:7" x14ac:dyDescent="0.25">
      <c r="A681" s="1">
        <v>45008</v>
      </c>
      <c r="B681">
        <v>136</v>
      </c>
      <c r="C681">
        <v>276</v>
      </c>
      <c r="D681">
        <v>178</v>
      </c>
      <c r="E681" s="2">
        <v>8102</v>
      </c>
      <c r="F681">
        <v>331</v>
      </c>
      <c r="G681">
        <f>Table1[[#This Row],[Children apprehended and placed in CBP custody*]]-Table1[[#This Row],[Children discharged from HHS Care]]</f>
        <v>-195</v>
      </c>
    </row>
    <row r="682" spans="1:7" x14ac:dyDescent="0.25">
      <c r="A682" s="1">
        <v>45007</v>
      </c>
      <c r="B682">
        <v>166</v>
      </c>
      <c r="C682">
        <v>277</v>
      </c>
      <c r="D682">
        <v>229</v>
      </c>
      <c r="E682" s="2">
        <v>8097</v>
      </c>
      <c r="F682">
        <v>246</v>
      </c>
      <c r="G682">
        <f>Table1[[#This Row],[Children apprehended and placed in CBP custody*]]-Table1[[#This Row],[Children discharged from HHS Care]]</f>
        <v>-80</v>
      </c>
    </row>
    <row r="683" spans="1:7" x14ac:dyDescent="0.25">
      <c r="A683" s="1">
        <v>45006</v>
      </c>
      <c r="B683">
        <v>110</v>
      </c>
      <c r="C683">
        <v>272</v>
      </c>
      <c r="D683">
        <v>193</v>
      </c>
      <c r="E683" s="2">
        <v>8050</v>
      </c>
      <c r="F683">
        <v>221</v>
      </c>
      <c r="G683">
        <f>Table1[[#This Row],[Children apprehended and placed in CBP custody*]]-Table1[[#This Row],[Children discharged from HHS Care]]</f>
        <v>-111</v>
      </c>
    </row>
    <row r="684" spans="1:7" x14ac:dyDescent="0.25">
      <c r="A684" s="1">
        <v>45005</v>
      </c>
      <c r="B684">
        <v>202</v>
      </c>
      <c r="C684">
        <v>313</v>
      </c>
      <c r="D684">
        <v>158</v>
      </c>
      <c r="E684" s="2">
        <v>7931</v>
      </c>
      <c r="F684">
        <v>279</v>
      </c>
      <c r="G684">
        <f>Table1[[#This Row],[Children apprehended and placed in CBP custody*]]-Table1[[#This Row],[Children discharged from HHS Care]]</f>
        <v>-77</v>
      </c>
    </row>
    <row r="685" spans="1:7" x14ac:dyDescent="0.25">
      <c r="A685" s="1">
        <v>45004</v>
      </c>
      <c r="B685">
        <v>134</v>
      </c>
      <c r="C685">
        <v>294</v>
      </c>
      <c r="D685">
        <v>186</v>
      </c>
      <c r="E685" s="2">
        <v>7885</v>
      </c>
      <c r="F685">
        <v>306</v>
      </c>
      <c r="G685">
        <f>Table1[[#This Row],[Children apprehended and placed in CBP custody*]]-Table1[[#This Row],[Children discharged from HHS Care]]</f>
        <v>-172</v>
      </c>
    </row>
    <row r="686" spans="1:7" x14ac:dyDescent="0.25">
      <c r="A686" s="1">
        <v>45001</v>
      </c>
      <c r="B686">
        <v>180</v>
      </c>
      <c r="C686">
        <v>280</v>
      </c>
      <c r="D686">
        <v>146</v>
      </c>
      <c r="E686" s="2">
        <v>7989</v>
      </c>
      <c r="F686">
        <v>308</v>
      </c>
      <c r="G686">
        <f>Table1[[#This Row],[Children apprehended and placed in CBP custody*]]-Table1[[#This Row],[Children discharged from HHS Care]]</f>
        <v>-128</v>
      </c>
    </row>
    <row r="687" spans="1:7" x14ac:dyDescent="0.25">
      <c r="A687" s="1">
        <v>45000</v>
      </c>
      <c r="B687">
        <v>108</v>
      </c>
      <c r="C687">
        <v>220</v>
      </c>
      <c r="D687">
        <v>213</v>
      </c>
      <c r="E687" s="2">
        <v>7915</v>
      </c>
      <c r="F687">
        <v>286</v>
      </c>
      <c r="G687">
        <f>Table1[[#This Row],[Children apprehended and placed in CBP custody*]]-Table1[[#This Row],[Children discharged from HHS Care]]</f>
        <v>-178</v>
      </c>
    </row>
    <row r="688" spans="1:7" x14ac:dyDescent="0.25">
      <c r="A688" s="1">
        <v>44999</v>
      </c>
      <c r="B688">
        <v>147</v>
      </c>
      <c r="C688">
        <v>276</v>
      </c>
      <c r="D688">
        <v>214</v>
      </c>
      <c r="E688" s="2">
        <v>7810</v>
      </c>
      <c r="F688">
        <v>181</v>
      </c>
      <c r="G688">
        <f>Table1[[#This Row],[Children apprehended and placed in CBP custody*]]-Table1[[#This Row],[Children discharged from HHS Care]]</f>
        <v>-34</v>
      </c>
    </row>
    <row r="689" spans="1:7" x14ac:dyDescent="0.25">
      <c r="A689" s="1">
        <v>44998</v>
      </c>
      <c r="B689">
        <v>104</v>
      </c>
      <c r="C689">
        <v>230</v>
      </c>
      <c r="D689">
        <v>206</v>
      </c>
      <c r="E689" s="2">
        <v>7567</v>
      </c>
      <c r="F689">
        <v>249</v>
      </c>
      <c r="G689">
        <f>Table1[[#This Row],[Children apprehended and placed in CBP custody*]]-Table1[[#This Row],[Children discharged from HHS Care]]</f>
        <v>-145</v>
      </c>
    </row>
    <row r="690" spans="1:7" x14ac:dyDescent="0.25">
      <c r="A690" s="1">
        <v>44994</v>
      </c>
      <c r="B690">
        <v>174</v>
      </c>
      <c r="C690">
        <v>285</v>
      </c>
      <c r="D690">
        <v>150</v>
      </c>
      <c r="E690" s="2">
        <v>7786</v>
      </c>
      <c r="F690">
        <v>340</v>
      </c>
      <c r="G690">
        <f>Table1[[#This Row],[Children apprehended and placed in CBP custody*]]-Table1[[#This Row],[Children discharged from HHS Care]]</f>
        <v>-166</v>
      </c>
    </row>
    <row r="691" spans="1:7" x14ac:dyDescent="0.25">
      <c r="A691" s="1">
        <v>44993</v>
      </c>
      <c r="B691">
        <v>113</v>
      </c>
      <c r="C691">
        <v>208</v>
      </c>
      <c r="D691">
        <v>159</v>
      </c>
      <c r="E691" s="2">
        <v>7885</v>
      </c>
      <c r="F691">
        <v>291</v>
      </c>
      <c r="G691">
        <f>Table1[[#This Row],[Children apprehended and placed in CBP custody*]]-Table1[[#This Row],[Children discharged from HHS Care]]</f>
        <v>-178</v>
      </c>
    </row>
    <row r="692" spans="1:7" x14ac:dyDescent="0.25">
      <c r="A692" s="1">
        <v>44992</v>
      </c>
      <c r="B692">
        <v>88</v>
      </c>
      <c r="C692">
        <v>214</v>
      </c>
      <c r="D692">
        <v>160</v>
      </c>
      <c r="E692" s="2">
        <v>7859</v>
      </c>
      <c r="F692">
        <v>259</v>
      </c>
      <c r="G692">
        <f>Table1[[#This Row],[Children apprehended and placed in CBP custody*]]-Table1[[#This Row],[Children discharged from HHS Care]]</f>
        <v>-171</v>
      </c>
    </row>
    <row r="693" spans="1:7" x14ac:dyDescent="0.25">
      <c r="A693" s="1">
        <v>44987</v>
      </c>
      <c r="B693">
        <v>130</v>
      </c>
      <c r="C693">
        <v>227</v>
      </c>
      <c r="D693">
        <v>192</v>
      </c>
      <c r="E693" s="2">
        <v>7870</v>
      </c>
      <c r="F693">
        <v>335</v>
      </c>
      <c r="G693">
        <f>Table1[[#This Row],[Children apprehended and placed in CBP custody*]]-Table1[[#This Row],[Children discharged from HHS Care]]</f>
        <v>-205</v>
      </c>
    </row>
    <row r="694" spans="1:7" x14ac:dyDescent="0.25">
      <c r="A694" s="1">
        <v>44986</v>
      </c>
      <c r="B694">
        <v>84</v>
      </c>
      <c r="C694">
        <v>158</v>
      </c>
      <c r="D694">
        <v>193</v>
      </c>
      <c r="E694" s="2">
        <v>7930</v>
      </c>
      <c r="F694">
        <v>307</v>
      </c>
      <c r="G694">
        <f>Table1[[#This Row],[Children apprehended and placed in CBP custody*]]-Table1[[#This Row],[Children discharged from HHS Care]]</f>
        <v>-223</v>
      </c>
    </row>
    <row r="695" spans="1:7" x14ac:dyDescent="0.25">
      <c r="A695" s="1">
        <v>44985</v>
      </c>
      <c r="B695">
        <v>115</v>
      </c>
      <c r="C695">
        <v>216</v>
      </c>
      <c r="D695">
        <v>169</v>
      </c>
      <c r="E695" s="2">
        <v>7896</v>
      </c>
      <c r="F695">
        <v>200</v>
      </c>
      <c r="G695">
        <f>Table1[[#This Row],[Children apprehended and placed in CBP custody*]]-Table1[[#This Row],[Children discharged from HHS Care]]</f>
        <v>-85</v>
      </c>
    </row>
    <row r="696" spans="1:7" x14ac:dyDescent="0.25">
      <c r="A696" s="1">
        <v>44984</v>
      </c>
      <c r="B696">
        <v>167</v>
      </c>
      <c r="C696">
        <v>239</v>
      </c>
      <c r="D696">
        <v>166</v>
      </c>
      <c r="E696" s="2">
        <v>7800</v>
      </c>
      <c r="F696">
        <v>248</v>
      </c>
      <c r="G696">
        <f>Table1[[#This Row],[Children apprehended and placed in CBP custody*]]-Table1[[#This Row],[Children discharged from HHS Care]]</f>
        <v>-81</v>
      </c>
    </row>
    <row r="697" spans="1:7" x14ac:dyDescent="0.25">
      <c r="A697" s="1">
        <v>44983</v>
      </c>
      <c r="B697">
        <v>99</v>
      </c>
      <c r="C697">
        <v>190</v>
      </c>
      <c r="D697">
        <v>176</v>
      </c>
      <c r="E697" s="2">
        <v>7609</v>
      </c>
      <c r="F697">
        <v>323</v>
      </c>
      <c r="G697">
        <f>Table1[[#This Row],[Children apprehended and placed in CBP custody*]]-Table1[[#This Row],[Children discharged from HHS Care]]</f>
        <v>-224</v>
      </c>
    </row>
    <row r="698" spans="1:7" x14ac:dyDescent="0.25">
      <c r="A698" s="1">
        <v>44980</v>
      </c>
      <c r="B698">
        <v>101</v>
      </c>
      <c r="C698">
        <v>162</v>
      </c>
      <c r="D698">
        <v>178</v>
      </c>
      <c r="E698" s="2">
        <v>7914</v>
      </c>
      <c r="F698">
        <v>386</v>
      </c>
      <c r="G698">
        <f>Table1[[#This Row],[Children apprehended and placed in CBP custody*]]-Table1[[#This Row],[Children discharged from HHS Care]]</f>
        <v>-285</v>
      </c>
    </row>
    <row r="699" spans="1:7" x14ac:dyDescent="0.25">
      <c r="A699" s="1">
        <v>44979</v>
      </c>
      <c r="B699">
        <v>107</v>
      </c>
      <c r="C699">
        <v>215</v>
      </c>
      <c r="D699">
        <v>230</v>
      </c>
      <c r="E699" s="2">
        <v>7978</v>
      </c>
      <c r="F699">
        <v>232</v>
      </c>
      <c r="G699">
        <f>Table1[[#This Row],[Children apprehended and placed in CBP custody*]]-Table1[[#This Row],[Children discharged from HHS Care]]</f>
        <v>-125</v>
      </c>
    </row>
    <row r="700" spans="1:7" x14ac:dyDescent="0.25">
      <c r="A700" s="1">
        <v>44978</v>
      </c>
      <c r="B700">
        <v>184</v>
      </c>
      <c r="C700">
        <v>314</v>
      </c>
      <c r="D700">
        <v>217</v>
      </c>
      <c r="E700" s="2">
        <v>7967</v>
      </c>
      <c r="F700">
        <v>213</v>
      </c>
      <c r="G700">
        <f>Table1[[#This Row],[Children apprehended and placed in CBP custody*]]-Table1[[#This Row],[Children discharged from HHS Care]]</f>
        <v>-29</v>
      </c>
    </row>
    <row r="701" spans="1:7" x14ac:dyDescent="0.25">
      <c r="A701" s="1">
        <v>44977</v>
      </c>
      <c r="B701">
        <v>209</v>
      </c>
      <c r="C701">
        <v>285</v>
      </c>
      <c r="D701">
        <v>184</v>
      </c>
      <c r="E701" s="2">
        <v>7817</v>
      </c>
      <c r="F701">
        <v>209</v>
      </c>
      <c r="G701">
        <f>Table1[[#This Row],[Children apprehended and placed in CBP custody*]]-Table1[[#This Row],[Children discharged from HHS Care]]</f>
        <v>0</v>
      </c>
    </row>
    <row r="702" spans="1:7" x14ac:dyDescent="0.25">
      <c r="A702" s="1">
        <v>44973</v>
      </c>
      <c r="B702">
        <v>81</v>
      </c>
      <c r="C702">
        <v>213</v>
      </c>
      <c r="D702">
        <v>153</v>
      </c>
      <c r="E702" s="2">
        <v>7793</v>
      </c>
      <c r="F702">
        <v>361</v>
      </c>
      <c r="G702">
        <f>Table1[[#This Row],[Children apprehended and placed in CBP custody*]]-Table1[[#This Row],[Children discharged from HHS Care]]</f>
        <v>-280</v>
      </c>
    </row>
    <row r="703" spans="1:7" x14ac:dyDescent="0.25">
      <c r="A703" s="1">
        <v>44972</v>
      </c>
      <c r="B703">
        <v>91</v>
      </c>
      <c r="C703">
        <v>199</v>
      </c>
      <c r="D703">
        <v>172</v>
      </c>
      <c r="E703" s="2">
        <v>7869</v>
      </c>
      <c r="F703">
        <v>290</v>
      </c>
      <c r="G703">
        <f>Table1[[#This Row],[Children apprehended and placed in CBP custody*]]-Table1[[#This Row],[Children discharged from HHS Care]]</f>
        <v>-199</v>
      </c>
    </row>
    <row r="704" spans="1:7" x14ac:dyDescent="0.25">
      <c r="A704" s="1">
        <v>44971</v>
      </c>
      <c r="B704">
        <v>154</v>
      </c>
      <c r="C704">
        <v>225</v>
      </c>
      <c r="D704">
        <v>220</v>
      </c>
      <c r="E704" s="2">
        <v>7794</v>
      </c>
      <c r="F704">
        <v>223</v>
      </c>
      <c r="G704">
        <f>Table1[[#This Row],[Children apprehended and placed in CBP custody*]]-Table1[[#This Row],[Children discharged from HHS Care]]</f>
        <v>-69</v>
      </c>
    </row>
    <row r="705" spans="1:7" x14ac:dyDescent="0.25">
      <c r="A705" s="1">
        <v>44970</v>
      </c>
      <c r="B705">
        <v>186</v>
      </c>
      <c r="C705">
        <v>259</v>
      </c>
      <c r="D705">
        <v>172</v>
      </c>
      <c r="E705" s="2">
        <v>7483</v>
      </c>
      <c r="F705">
        <v>244</v>
      </c>
      <c r="G705">
        <f>Table1[[#This Row],[Children apprehended and placed in CBP custody*]]-Table1[[#This Row],[Children discharged from HHS Care]]</f>
        <v>-58</v>
      </c>
    </row>
    <row r="706" spans="1:7" x14ac:dyDescent="0.25">
      <c r="A706" s="1">
        <v>44969</v>
      </c>
      <c r="B706">
        <v>92</v>
      </c>
      <c r="C706">
        <v>203</v>
      </c>
      <c r="D706">
        <v>173</v>
      </c>
      <c r="E706" s="2">
        <v>7434</v>
      </c>
      <c r="F706">
        <v>317</v>
      </c>
      <c r="G706">
        <f>Table1[[#This Row],[Children apprehended and placed in CBP custody*]]-Table1[[#This Row],[Children discharged from HHS Care]]</f>
        <v>-225</v>
      </c>
    </row>
    <row r="707" spans="1:7" x14ac:dyDescent="0.25">
      <c r="A707" s="1">
        <v>44966</v>
      </c>
      <c r="B707">
        <v>124</v>
      </c>
      <c r="C707">
        <v>234</v>
      </c>
      <c r="D707">
        <v>161</v>
      </c>
      <c r="E707" s="2">
        <v>7908</v>
      </c>
      <c r="F707">
        <v>353</v>
      </c>
      <c r="G707">
        <f>Table1[[#This Row],[Children apprehended and placed in CBP custody*]]-Table1[[#This Row],[Children discharged from HHS Care]]</f>
        <v>-229</v>
      </c>
    </row>
    <row r="708" spans="1:7" x14ac:dyDescent="0.25">
      <c r="A708" s="1">
        <v>44965</v>
      </c>
      <c r="B708">
        <v>93</v>
      </c>
      <c r="C708">
        <v>196</v>
      </c>
      <c r="D708">
        <v>169</v>
      </c>
      <c r="E708" s="2">
        <v>7915</v>
      </c>
      <c r="F708">
        <v>317</v>
      </c>
      <c r="G708">
        <f>Table1[[#This Row],[Children apprehended and placed in CBP custody*]]-Table1[[#This Row],[Children discharged from HHS Care]]</f>
        <v>-224</v>
      </c>
    </row>
    <row r="709" spans="1:7" x14ac:dyDescent="0.25">
      <c r="A709" s="1">
        <v>44964</v>
      </c>
      <c r="B709">
        <v>16</v>
      </c>
      <c r="C709">
        <v>20</v>
      </c>
      <c r="D709">
        <v>20</v>
      </c>
      <c r="E709" s="2">
        <v>7855</v>
      </c>
      <c r="F709">
        <v>200</v>
      </c>
      <c r="G709">
        <f>Table1[[#This Row],[Children apprehended and placed in CBP custody*]]-Table1[[#This Row],[Children discharged from HHS Care]]</f>
        <v>-184</v>
      </c>
    </row>
    <row r="710" spans="1:7" x14ac:dyDescent="0.25">
      <c r="A710" s="1">
        <v>44963</v>
      </c>
      <c r="B710">
        <v>11</v>
      </c>
      <c r="C710">
        <v>22</v>
      </c>
      <c r="D710">
        <v>12</v>
      </c>
      <c r="E710" s="2">
        <v>7720</v>
      </c>
      <c r="F710">
        <v>196</v>
      </c>
      <c r="G710">
        <f>Table1[[#This Row],[Children apprehended and placed in CBP custody*]]-Table1[[#This Row],[Children discharged from HHS Care]]</f>
        <v>-185</v>
      </c>
    </row>
    <row r="711" spans="1:7" x14ac:dyDescent="0.25">
      <c r="A711" s="1">
        <v>44962</v>
      </c>
      <c r="B711">
        <v>16</v>
      </c>
      <c r="C711">
        <v>18</v>
      </c>
      <c r="D711">
        <v>15</v>
      </c>
      <c r="E711" s="2">
        <v>7586</v>
      </c>
      <c r="F711">
        <v>342</v>
      </c>
      <c r="G711">
        <f>Table1[[#This Row],[Children apprehended and placed in CBP custody*]]-Table1[[#This Row],[Children discharged from HHS Care]]</f>
        <v>-326</v>
      </c>
    </row>
    <row r="712" spans="1:7" x14ac:dyDescent="0.25">
      <c r="A712" s="1">
        <v>44959</v>
      </c>
      <c r="B712">
        <v>15</v>
      </c>
      <c r="C712">
        <v>13</v>
      </c>
      <c r="D712">
        <v>23</v>
      </c>
      <c r="E712" s="2">
        <v>7879</v>
      </c>
      <c r="F712">
        <v>298</v>
      </c>
      <c r="G712">
        <f>Table1[[#This Row],[Children apprehended and placed in CBP custody*]]-Table1[[#This Row],[Children discharged from HHS Care]]</f>
        <v>-283</v>
      </c>
    </row>
    <row r="713" spans="1:7" x14ac:dyDescent="0.25">
      <c r="A713" s="1">
        <v>44958</v>
      </c>
      <c r="B713">
        <v>25</v>
      </c>
      <c r="C713">
        <v>32</v>
      </c>
      <c r="D713">
        <v>27</v>
      </c>
      <c r="E713" s="2">
        <v>7903</v>
      </c>
      <c r="F713">
        <v>231</v>
      </c>
      <c r="G713">
        <f>Table1[[#This Row],[Children apprehended and placed in CBP custody*]]-Table1[[#This Row],[Children discharged from HHS Care]]</f>
        <v>-206</v>
      </c>
    </row>
    <row r="714" spans="1:7" x14ac:dyDescent="0.25">
      <c r="A714" s="1">
        <v>44957</v>
      </c>
      <c r="B714">
        <v>26</v>
      </c>
      <c r="C714">
        <v>36</v>
      </c>
      <c r="D714">
        <v>36</v>
      </c>
      <c r="E714" s="2">
        <v>7803</v>
      </c>
      <c r="F714">
        <v>158</v>
      </c>
      <c r="G714">
        <f>Table1[[#This Row],[Children apprehended and placed in CBP custody*]]-Table1[[#This Row],[Children discharged from HHS Care]]</f>
        <v>-132</v>
      </c>
    </row>
    <row r="715" spans="1:7" x14ac:dyDescent="0.25">
      <c r="A715" s="1">
        <v>44956</v>
      </c>
      <c r="B715">
        <v>34</v>
      </c>
      <c r="C715">
        <v>54</v>
      </c>
      <c r="D715">
        <v>29</v>
      </c>
      <c r="E715" s="2">
        <v>7743</v>
      </c>
      <c r="F715">
        <v>196</v>
      </c>
      <c r="G715">
        <f>Table1[[#This Row],[Children apprehended and placed in CBP custody*]]-Table1[[#This Row],[Children discharged from HHS Care]]</f>
        <v>-162</v>
      </c>
    </row>
    <row r="716" spans="1:7" x14ac:dyDescent="0.25">
      <c r="A716" s="1">
        <v>44955</v>
      </c>
      <c r="B716">
        <v>23</v>
      </c>
      <c r="C716">
        <v>45</v>
      </c>
      <c r="D716">
        <v>11</v>
      </c>
      <c r="E716" s="2">
        <v>7472</v>
      </c>
      <c r="F716">
        <v>303</v>
      </c>
      <c r="G716">
        <f>Table1[[#This Row],[Children apprehended and placed in CBP custody*]]-Table1[[#This Row],[Children discharged from HHS Care]]</f>
        <v>-280</v>
      </c>
    </row>
    <row r="717" spans="1:7" x14ac:dyDescent="0.25">
      <c r="A717" s="1">
        <v>44951</v>
      </c>
      <c r="B717">
        <v>20</v>
      </c>
      <c r="C717">
        <v>22</v>
      </c>
      <c r="D717">
        <v>41</v>
      </c>
      <c r="E717" s="2">
        <v>7538</v>
      </c>
      <c r="F717">
        <v>180</v>
      </c>
      <c r="G717">
        <f>Table1[[#This Row],[Children apprehended and placed in CBP custody*]]-Table1[[#This Row],[Children discharged from HHS Care]]</f>
        <v>-160</v>
      </c>
    </row>
    <row r="718" spans="1:7" x14ac:dyDescent="0.25">
      <c r="A718" s="1">
        <v>44950</v>
      </c>
      <c r="B718">
        <v>47</v>
      </c>
      <c r="C718">
        <v>42</v>
      </c>
      <c r="D718">
        <v>47</v>
      </c>
      <c r="E718" s="2">
        <v>7433</v>
      </c>
      <c r="F718">
        <v>175</v>
      </c>
      <c r="G718">
        <f>Table1[[#This Row],[Children apprehended and placed in CBP custody*]]-Table1[[#This Row],[Children discharged from HHS Care]]</f>
        <v>-128</v>
      </c>
    </row>
    <row r="719" spans="1:7" x14ac:dyDescent="0.25">
      <c r="A719" s="1">
        <v>44949</v>
      </c>
      <c r="B719">
        <v>32</v>
      </c>
      <c r="C719">
        <v>50</v>
      </c>
      <c r="D719">
        <v>39</v>
      </c>
      <c r="E719" s="2">
        <v>7280</v>
      </c>
      <c r="F719">
        <v>181</v>
      </c>
      <c r="G719">
        <f>Table1[[#This Row],[Children apprehended and placed in CBP custody*]]-Table1[[#This Row],[Children discharged from HHS Care]]</f>
        <v>-149</v>
      </c>
    </row>
    <row r="720" spans="1:7" x14ac:dyDescent="0.25">
      <c r="A720" s="1">
        <v>44948</v>
      </c>
      <c r="B720">
        <v>32</v>
      </c>
      <c r="C720">
        <v>49</v>
      </c>
      <c r="D720">
        <v>39</v>
      </c>
      <c r="E720" s="2">
        <v>7122</v>
      </c>
      <c r="F720">
        <v>227</v>
      </c>
      <c r="G720">
        <f>Table1[[#This Row],[Children apprehended and placed in CBP custody*]]-Table1[[#This Row],[Children discharged from HHS Care]]</f>
        <v>-195</v>
      </c>
    </row>
    <row r="721" spans="1:7" x14ac:dyDescent="0.25">
      <c r="A721" s="1">
        <v>44938</v>
      </c>
      <c r="B721">
        <v>33</v>
      </c>
      <c r="C721">
        <v>53</v>
      </c>
      <c r="D721">
        <v>34</v>
      </c>
      <c r="E721" s="2">
        <v>6566</v>
      </c>
      <c r="F721">
        <v>436</v>
      </c>
      <c r="G721">
        <f>Table1[[#This Row],[Children apprehended and placed in CBP custody*]]-Table1[[#This Row],[Children discharged from HHS Care]]</f>
        <v>-403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3BAF-5E2B-4048-B8D2-F827CF913468}">
  <dimension ref="B3:C8"/>
  <sheetViews>
    <sheetView workbookViewId="0">
      <selection activeCell="C8" sqref="C8"/>
    </sheetView>
  </sheetViews>
  <sheetFormatPr defaultRowHeight="15" x14ac:dyDescent="0.25"/>
  <cols>
    <col min="2" max="2" width="14.42578125" customWidth="1"/>
    <col min="3" max="3" width="9.5703125" bestFit="1" customWidth="1"/>
  </cols>
  <sheetData>
    <row r="3" spans="2:3" ht="30" x14ac:dyDescent="0.25">
      <c r="B3" s="3" t="s">
        <v>6</v>
      </c>
      <c r="C3" s="4">
        <f>SUM(Table1[Children apprehended and placed in CBP custody*])</f>
        <v>67337</v>
      </c>
    </row>
    <row r="4" spans="2:3" ht="30" x14ac:dyDescent="0.25">
      <c r="B4" s="3" t="s">
        <v>7</v>
      </c>
      <c r="C4" s="4">
        <f>SUM(Table1[[#All],[Children discharged from HHS Care]])</f>
        <v>124853</v>
      </c>
    </row>
    <row r="5" spans="2:3" ht="30" x14ac:dyDescent="0.25">
      <c r="B5" s="3" t="s">
        <v>8</v>
      </c>
      <c r="C5" s="9">
        <f>AVERAGE(Table1[Children in HHS Care])</f>
        <v>6061.2749999999996</v>
      </c>
    </row>
    <row r="6" spans="2:3" ht="30" x14ac:dyDescent="0.25">
      <c r="B6" s="3" t="s">
        <v>9</v>
      </c>
      <c r="C6">
        <f>MAX(Table1[Children in HHS Care])</f>
        <v>11516</v>
      </c>
    </row>
    <row r="7" spans="2:3" ht="30" x14ac:dyDescent="0.25">
      <c r="B7" s="3" t="s">
        <v>10</v>
      </c>
      <c r="C7">
        <f>MIN(Table1[[#All],[Children in HHS Care]])</f>
        <v>1972</v>
      </c>
    </row>
    <row r="8" spans="2:3" x14ac:dyDescent="0.25">
      <c r="B8" s="3" t="s">
        <v>11</v>
      </c>
      <c r="C8">
        <f>C3-C4</f>
        <v>-57516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DD610-82E5-4924-BE12-DF46AC5ECB1A}">
  <dimension ref="A1:L84"/>
  <sheetViews>
    <sheetView topLeftCell="A2" zoomScale="85" zoomScaleNormal="85" workbookViewId="0">
      <selection activeCell="Y13" sqref="Y13"/>
    </sheetView>
  </sheetViews>
  <sheetFormatPr defaultRowHeight="15" x14ac:dyDescent="0.25"/>
  <cols>
    <col min="1" max="1" width="13.28515625" bestFit="1" customWidth="1"/>
    <col min="2" max="2" width="43.5703125" bestFit="1" customWidth="1"/>
    <col min="3" max="3" width="39.28515625" bestFit="1" customWidth="1"/>
    <col min="4" max="5" width="4.85546875" bestFit="1" customWidth="1"/>
    <col min="6" max="6" width="11.28515625" bestFit="1" customWidth="1"/>
    <col min="7" max="7" width="13.28515625" bestFit="1" customWidth="1"/>
    <col min="8" max="8" width="32.5703125" bestFit="1" customWidth="1"/>
    <col min="9" max="9" width="29.85546875" bestFit="1" customWidth="1"/>
    <col min="10" max="10" width="8.7109375" bestFit="1" customWidth="1"/>
    <col min="11" max="12" width="13.28515625" bestFit="1" customWidth="1"/>
    <col min="13" max="16" width="8.7109375" bestFit="1" customWidth="1"/>
    <col min="17" max="28" width="9.7109375" bestFit="1" customWidth="1"/>
    <col min="29" max="33" width="8.7109375" bestFit="1" customWidth="1"/>
    <col min="34" max="47" width="9.7109375" bestFit="1" customWidth="1"/>
    <col min="48" max="54" width="8.7109375" bestFit="1" customWidth="1"/>
    <col min="55" max="69" width="9.7109375" bestFit="1" customWidth="1"/>
    <col min="70" max="75" width="8.7109375" bestFit="1" customWidth="1"/>
    <col min="76" max="89" width="9.7109375" bestFit="1" customWidth="1"/>
    <col min="90" max="94" width="8.7109375" bestFit="1" customWidth="1"/>
    <col min="95" max="110" width="9.7109375" bestFit="1" customWidth="1"/>
    <col min="111" max="117" width="8.7109375" bestFit="1" customWidth="1"/>
    <col min="118" max="132" width="9.7109375" bestFit="1" customWidth="1"/>
    <col min="133" max="138" width="8.7109375" bestFit="1" customWidth="1"/>
    <col min="139" max="151" width="9.7109375" bestFit="1" customWidth="1"/>
    <col min="152" max="157" width="8.7109375" bestFit="1" customWidth="1"/>
    <col min="158" max="173" width="9.7109375" bestFit="1" customWidth="1"/>
    <col min="174" max="179" width="8.7109375" bestFit="1" customWidth="1"/>
    <col min="180" max="194" width="9.7109375" bestFit="1" customWidth="1"/>
    <col min="195" max="201" width="8.7109375" bestFit="1" customWidth="1"/>
    <col min="202" max="216" width="9.7109375" bestFit="1" customWidth="1"/>
    <col min="217" max="222" width="8.7109375" bestFit="1" customWidth="1"/>
    <col min="223" max="236" width="9.7109375" bestFit="1" customWidth="1"/>
    <col min="237" max="243" width="8.7109375" bestFit="1" customWidth="1"/>
    <col min="244" max="258" width="9.7109375" bestFit="1" customWidth="1"/>
    <col min="259" max="265" width="8.7109375" bestFit="1" customWidth="1"/>
    <col min="266" max="279" width="9.7109375" bestFit="1" customWidth="1"/>
    <col min="280" max="285" width="8.7109375" bestFit="1" customWidth="1"/>
    <col min="286" max="300" width="9.7109375" bestFit="1" customWidth="1"/>
    <col min="301" max="307" width="8.7109375" bestFit="1" customWidth="1"/>
    <col min="308" max="323" width="9.7109375" bestFit="1" customWidth="1"/>
    <col min="324" max="329" width="8.7109375" bestFit="1" customWidth="1"/>
    <col min="330" max="341" width="9.7109375" bestFit="1" customWidth="1"/>
    <col min="342" max="348" width="8.7109375" bestFit="1" customWidth="1"/>
    <col min="349" max="358" width="9.7109375" bestFit="1" customWidth="1"/>
    <col min="359" max="363" width="8.7109375" bestFit="1" customWidth="1"/>
    <col min="364" max="379" width="9.7109375" bestFit="1" customWidth="1"/>
    <col min="380" max="386" width="8.7109375" bestFit="1" customWidth="1"/>
    <col min="387" max="399" width="9.7109375" bestFit="1" customWidth="1"/>
    <col min="400" max="403" width="8.7109375" bestFit="1" customWidth="1"/>
    <col min="404" max="418" width="9.7109375" bestFit="1" customWidth="1"/>
    <col min="419" max="424" width="8.7109375" bestFit="1" customWidth="1"/>
    <col min="425" max="439" width="9.7109375" bestFit="1" customWidth="1"/>
    <col min="440" max="445" width="8.7109375" bestFit="1" customWidth="1"/>
    <col min="446" max="458" width="9.7109375" bestFit="1" customWidth="1"/>
    <col min="459" max="464" width="8.7109375" bestFit="1" customWidth="1"/>
    <col min="465" max="480" width="9.7109375" bestFit="1" customWidth="1"/>
    <col min="481" max="486" width="8.7109375" bestFit="1" customWidth="1"/>
    <col min="487" max="501" width="9.7109375" bestFit="1" customWidth="1"/>
    <col min="502" max="506" width="8.7109375" bestFit="1" customWidth="1"/>
    <col min="507" max="521" width="9.7109375" bestFit="1" customWidth="1"/>
    <col min="522" max="528" width="8.7109375" bestFit="1" customWidth="1"/>
    <col min="529" max="549" width="9.7109375" bestFit="1" customWidth="1"/>
    <col min="550" max="565" width="10.7109375" bestFit="1" customWidth="1"/>
    <col min="566" max="571" width="9.7109375" bestFit="1" customWidth="1"/>
    <col min="572" max="585" width="10.7109375" bestFit="1" customWidth="1"/>
    <col min="586" max="590" width="9.7109375" bestFit="1" customWidth="1"/>
    <col min="591" max="604" width="10.7109375" bestFit="1" customWidth="1"/>
    <col min="605" max="610" width="9.7109375" bestFit="1" customWidth="1"/>
    <col min="611" max="625" width="10.7109375" bestFit="1" customWidth="1"/>
    <col min="626" max="630" width="9.7109375" bestFit="1" customWidth="1"/>
    <col min="631" max="644" width="10.7109375" bestFit="1" customWidth="1"/>
    <col min="645" max="651" width="9.7109375" bestFit="1" customWidth="1"/>
    <col min="652" max="666" width="10.7109375" bestFit="1" customWidth="1"/>
    <col min="667" max="673" width="9.7109375" bestFit="1" customWidth="1"/>
    <col min="674" max="687" width="10.7109375" bestFit="1" customWidth="1"/>
    <col min="688" max="693" width="9.7109375" bestFit="1" customWidth="1"/>
    <col min="694" max="706" width="10.7109375" bestFit="1" customWidth="1"/>
    <col min="707" max="713" width="9.7109375" bestFit="1" customWidth="1"/>
    <col min="714" max="721" width="10.7109375" bestFit="1" customWidth="1"/>
    <col min="722" max="722" width="11.28515625" bestFit="1" customWidth="1"/>
  </cols>
  <sheetData>
    <row r="1" spans="1:12" x14ac:dyDescent="0.25">
      <c r="A1" s="6" t="s">
        <v>28</v>
      </c>
      <c r="B1" t="s">
        <v>37</v>
      </c>
      <c r="G1" s="6" t="s">
        <v>28</v>
      </c>
      <c r="H1" t="s">
        <v>32</v>
      </c>
      <c r="I1" t="s">
        <v>31</v>
      </c>
      <c r="K1" s="6" t="s">
        <v>28</v>
      </c>
      <c r="L1" t="s">
        <v>33</v>
      </c>
    </row>
    <row r="2" spans="1:12" x14ac:dyDescent="0.25">
      <c r="A2" s="7" t="s">
        <v>13</v>
      </c>
      <c r="B2" s="5"/>
      <c r="G2" s="7" t="s">
        <v>13</v>
      </c>
      <c r="H2" s="5"/>
      <c r="I2" s="5"/>
      <c r="K2" s="7" t="s">
        <v>13</v>
      </c>
      <c r="L2" s="5"/>
    </row>
    <row r="3" spans="1:12" x14ac:dyDescent="0.25">
      <c r="A3" s="8" t="s">
        <v>16</v>
      </c>
      <c r="B3" s="5">
        <v>7369.625</v>
      </c>
      <c r="G3" s="8" t="s">
        <v>16</v>
      </c>
      <c r="H3" s="5">
        <v>43.875</v>
      </c>
      <c r="I3" s="5">
        <v>7369.625</v>
      </c>
      <c r="K3" s="8" t="s">
        <v>16</v>
      </c>
      <c r="L3" s="5">
        <v>-1609</v>
      </c>
    </row>
    <row r="4" spans="1:12" x14ac:dyDescent="0.25">
      <c r="A4" s="8" t="s">
        <v>17</v>
      </c>
      <c r="B4" s="5">
        <v>7795.7894736842109</v>
      </c>
      <c r="G4" s="8" t="s">
        <v>17</v>
      </c>
      <c r="H4" s="5">
        <v>171.31578947368422</v>
      </c>
      <c r="I4" s="5">
        <v>7795.7894736842109</v>
      </c>
      <c r="K4" s="8" t="s">
        <v>17</v>
      </c>
      <c r="L4" s="5">
        <v>-3297</v>
      </c>
    </row>
    <row r="5" spans="1:12" x14ac:dyDescent="0.25">
      <c r="A5" s="8" t="s">
        <v>18</v>
      </c>
      <c r="B5" s="5">
        <v>7945.3684210526317</v>
      </c>
      <c r="G5" s="8" t="s">
        <v>18</v>
      </c>
      <c r="H5" s="5">
        <v>245.10526315789474</v>
      </c>
      <c r="I5" s="5">
        <v>7945.3684210526317</v>
      </c>
      <c r="K5" s="8" t="s">
        <v>18</v>
      </c>
      <c r="L5" s="5">
        <v>-2896</v>
      </c>
    </row>
    <row r="6" spans="1:12" x14ac:dyDescent="0.25">
      <c r="A6" s="8" t="s">
        <v>19</v>
      </c>
      <c r="B6" s="5">
        <v>7842.666666666667</v>
      </c>
      <c r="G6" s="8" t="s">
        <v>19</v>
      </c>
      <c r="H6" s="5">
        <v>250.1904761904762</v>
      </c>
      <c r="I6" s="5">
        <v>7842.666666666667</v>
      </c>
      <c r="K6" s="8" t="s">
        <v>19</v>
      </c>
      <c r="L6" s="5">
        <v>-2539</v>
      </c>
    </row>
    <row r="7" spans="1:12" x14ac:dyDescent="0.25">
      <c r="A7" s="8" t="s">
        <v>20</v>
      </c>
      <c r="B7" s="5">
        <v>8187.136363636364</v>
      </c>
      <c r="G7" s="8" t="s">
        <v>20</v>
      </c>
      <c r="H7" s="5">
        <v>216.95454545454547</v>
      </c>
      <c r="I7" s="5">
        <v>8187.136363636364</v>
      </c>
      <c r="K7" s="8" t="s">
        <v>20</v>
      </c>
      <c r="L7" s="5">
        <v>-3510</v>
      </c>
    </row>
    <row r="8" spans="1:12" x14ac:dyDescent="0.25">
      <c r="A8" s="8" t="s">
        <v>21</v>
      </c>
      <c r="B8" s="5">
        <v>6136.45</v>
      </c>
      <c r="G8" s="8" t="s">
        <v>21</v>
      </c>
      <c r="H8" s="5">
        <v>145.65</v>
      </c>
      <c r="I8" s="5">
        <v>6136.45</v>
      </c>
      <c r="K8" s="8" t="s">
        <v>21</v>
      </c>
      <c r="L8" s="5">
        <v>-2255</v>
      </c>
    </row>
    <row r="9" spans="1:12" x14ac:dyDescent="0.25">
      <c r="A9" s="8" t="s">
        <v>22</v>
      </c>
      <c r="B9" s="5">
        <v>6828.0952380952385</v>
      </c>
      <c r="G9" s="8" t="s">
        <v>22</v>
      </c>
      <c r="H9" s="5">
        <v>245.28571428571428</v>
      </c>
      <c r="I9" s="5">
        <v>6828.0952380952385</v>
      </c>
      <c r="K9" s="8" t="s">
        <v>22</v>
      </c>
      <c r="L9" s="5">
        <v>-1549</v>
      </c>
    </row>
    <row r="10" spans="1:12" x14ac:dyDescent="0.25">
      <c r="A10" s="8" t="s">
        <v>23</v>
      </c>
      <c r="B10" s="5">
        <v>9347.9</v>
      </c>
      <c r="G10" s="8" t="s">
        <v>23</v>
      </c>
      <c r="H10" s="5">
        <v>237.2</v>
      </c>
      <c r="I10" s="5">
        <v>9347.9</v>
      </c>
      <c r="K10" s="8" t="s">
        <v>23</v>
      </c>
      <c r="L10" s="5">
        <v>-3719</v>
      </c>
    </row>
    <row r="11" spans="1:12" x14ac:dyDescent="0.25">
      <c r="A11" s="8" t="s">
        <v>24</v>
      </c>
      <c r="B11" s="5">
        <v>10701.315789473685</v>
      </c>
      <c r="G11" s="8" t="s">
        <v>24</v>
      </c>
      <c r="H11" s="5">
        <v>291.05263157894734</v>
      </c>
      <c r="I11" s="5">
        <v>10701.315789473685</v>
      </c>
      <c r="K11" s="8" t="s">
        <v>24</v>
      </c>
      <c r="L11" s="5">
        <v>-3352</v>
      </c>
    </row>
    <row r="12" spans="1:12" x14ac:dyDescent="0.25">
      <c r="A12" s="8" t="s">
        <v>25</v>
      </c>
      <c r="B12" s="5">
        <v>10205.318181818182</v>
      </c>
      <c r="G12" s="8" t="s">
        <v>25</v>
      </c>
      <c r="H12" s="5">
        <v>102.90909090909091</v>
      </c>
      <c r="I12" s="5">
        <v>10205.318181818182</v>
      </c>
      <c r="K12" s="8" t="s">
        <v>25</v>
      </c>
      <c r="L12" s="5">
        <v>-6172</v>
      </c>
    </row>
    <row r="13" spans="1:12" x14ac:dyDescent="0.25">
      <c r="A13" s="8" t="s">
        <v>26</v>
      </c>
      <c r="B13" s="5">
        <v>9726.1</v>
      </c>
      <c r="G13" s="8" t="s">
        <v>26</v>
      </c>
      <c r="H13" s="5">
        <v>183.5</v>
      </c>
      <c r="I13" s="5">
        <v>9726.1</v>
      </c>
      <c r="K13" s="8" t="s">
        <v>26</v>
      </c>
      <c r="L13" s="5">
        <v>-3693</v>
      </c>
    </row>
    <row r="14" spans="1:12" x14ac:dyDescent="0.25">
      <c r="A14" s="8" t="s">
        <v>27</v>
      </c>
      <c r="B14" s="5">
        <v>11068.631578947368</v>
      </c>
      <c r="G14" s="8" t="s">
        <v>27</v>
      </c>
      <c r="H14" s="5">
        <v>186.63157894736841</v>
      </c>
      <c r="I14" s="5">
        <v>11068.631578947368</v>
      </c>
      <c r="K14" s="8" t="s">
        <v>27</v>
      </c>
      <c r="L14" s="5">
        <v>-4597</v>
      </c>
    </row>
    <row r="15" spans="1:12" x14ac:dyDescent="0.25">
      <c r="A15" s="7" t="s">
        <v>14</v>
      </c>
      <c r="B15" s="5"/>
      <c r="G15" s="7" t="s">
        <v>14</v>
      </c>
      <c r="H15" s="5"/>
      <c r="I15" s="5"/>
      <c r="K15" s="7" t="s">
        <v>14</v>
      </c>
      <c r="L15" s="5"/>
    </row>
    <row r="16" spans="1:12" x14ac:dyDescent="0.25">
      <c r="A16" s="8" t="s">
        <v>16</v>
      </c>
      <c r="B16" s="5">
        <v>8851.045454545454</v>
      </c>
      <c r="G16" s="8" t="s">
        <v>16</v>
      </c>
      <c r="H16" s="5">
        <v>170.59090909090909</v>
      </c>
      <c r="I16" s="5">
        <v>8851.045454545454</v>
      </c>
      <c r="K16" s="8" t="s">
        <v>16</v>
      </c>
      <c r="L16" s="5">
        <v>-4399</v>
      </c>
    </row>
    <row r="17" spans="1:12" x14ac:dyDescent="0.25">
      <c r="A17" s="8" t="s">
        <v>17</v>
      </c>
      <c r="B17" s="5">
        <v>8325.2000000000007</v>
      </c>
      <c r="G17" s="8" t="s">
        <v>17</v>
      </c>
      <c r="H17" s="5">
        <v>441.6</v>
      </c>
      <c r="I17" s="5">
        <v>8325.2000000000007</v>
      </c>
      <c r="K17" s="8" t="s">
        <v>17</v>
      </c>
      <c r="L17" s="5">
        <v>-756</v>
      </c>
    </row>
    <row r="18" spans="1:12" x14ac:dyDescent="0.25">
      <c r="A18" s="8" t="s">
        <v>18</v>
      </c>
      <c r="B18" s="5">
        <v>8382.6666666666661</v>
      </c>
      <c r="G18" s="8" t="s">
        <v>18</v>
      </c>
      <c r="H18" s="5">
        <v>321.1904761904762</v>
      </c>
      <c r="I18" s="5">
        <v>8382.6666666666661</v>
      </c>
      <c r="K18" s="8" t="s">
        <v>18</v>
      </c>
      <c r="L18" s="5">
        <v>-2301</v>
      </c>
    </row>
    <row r="19" spans="1:12" x14ac:dyDescent="0.25">
      <c r="A19" s="8" t="s">
        <v>19</v>
      </c>
      <c r="B19" s="5">
        <v>7027.136363636364</v>
      </c>
      <c r="G19" s="8" t="s">
        <v>19</v>
      </c>
      <c r="H19" s="5">
        <v>309.18181818181819</v>
      </c>
      <c r="I19" s="5">
        <v>7027.136363636364</v>
      </c>
      <c r="K19" s="8" t="s">
        <v>19</v>
      </c>
      <c r="L19" s="5">
        <v>-1050</v>
      </c>
    </row>
    <row r="20" spans="1:12" x14ac:dyDescent="0.25">
      <c r="A20" s="8" t="s">
        <v>20</v>
      </c>
      <c r="B20" s="5">
        <v>7490.2857142857147</v>
      </c>
      <c r="G20" s="8" t="s">
        <v>20</v>
      </c>
      <c r="H20" s="5">
        <v>345.76190476190476</v>
      </c>
      <c r="I20" s="5">
        <v>7490.2857142857147</v>
      </c>
      <c r="K20" s="8" t="s">
        <v>20</v>
      </c>
      <c r="L20" s="5">
        <v>-843</v>
      </c>
    </row>
    <row r="21" spans="1:12" x14ac:dyDescent="0.25">
      <c r="A21" s="8" t="s">
        <v>21</v>
      </c>
      <c r="B21" s="5">
        <v>7407.5238095238092</v>
      </c>
      <c r="G21" s="8" t="s">
        <v>21</v>
      </c>
      <c r="H21" s="5">
        <v>283.95238095238096</v>
      </c>
      <c r="I21" s="5">
        <v>7407.5238095238092</v>
      </c>
      <c r="K21" s="8" t="s">
        <v>21</v>
      </c>
      <c r="L21" s="5">
        <v>-1535</v>
      </c>
    </row>
    <row r="22" spans="1:12" x14ac:dyDescent="0.25">
      <c r="A22" s="8" t="s">
        <v>22</v>
      </c>
      <c r="B22" s="5">
        <v>6286.333333333333</v>
      </c>
      <c r="G22" s="8" t="s">
        <v>22</v>
      </c>
      <c r="H22" s="5">
        <v>212.42857142857142</v>
      </c>
      <c r="I22" s="5">
        <v>6286.333333333333</v>
      </c>
      <c r="K22" s="8" t="s">
        <v>22</v>
      </c>
      <c r="L22" s="5">
        <v>-1336</v>
      </c>
    </row>
    <row r="23" spans="1:12" x14ac:dyDescent="0.25">
      <c r="A23" s="8" t="s">
        <v>23</v>
      </c>
      <c r="B23" s="5">
        <v>6004.2631578947367</v>
      </c>
      <c r="G23" s="8" t="s">
        <v>23</v>
      </c>
      <c r="H23" s="5">
        <v>254.47368421052633</v>
      </c>
      <c r="I23" s="5">
        <v>6004.2631578947367</v>
      </c>
      <c r="K23" s="8" t="s">
        <v>23</v>
      </c>
      <c r="L23" s="5">
        <v>-417</v>
      </c>
    </row>
    <row r="24" spans="1:12" x14ac:dyDescent="0.25">
      <c r="A24" s="8" t="s">
        <v>24</v>
      </c>
      <c r="B24" s="5">
        <v>6213.409090909091</v>
      </c>
      <c r="G24" s="8" t="s">
        <v>24</v>
      </c>
      <c r="H24" s="5">
        <v>239.22727272727272</v>
      </c>
      <c r="I24" s="5">
        <v>6213.409090909091</v>
      </c>
      <c r="K24" s="8" t="s">
        <v>24</v>
      </c>
      <c r="L24" s="5">
        <v>-909</v>
      </c>
    </row>
    <row r="25" spans="1:12" x14ac:dyDescent="0.25">
      <c r="A25" s="8" t="s">
        <v>25</v>
      </c>
      <c r="B25" s="5">
        <v>6032.8571428571431</v>
      </c>
      <c r="G25" s="8" t="s">
        <v>25</v>
      </c>
      <c r="H25" s="5">
        <v>243.42857142857142</v>
      </c>
      <c r="I25" s="5">
        <v>6032.8571428571431</v>
      </c>
      <c r="K25" s="8" t="s">
        <v>25</v>
      </c>
      <c r="L25" s="5">
        <v>-458</v>
      </c>
    </row>
    <row r="26" spans="1:12" x14ac:dyDescent="0.25">
      <c r="A26" s="8" t="s">
        <v>26</v>
      </c>
      <c r="B26" s="5">
        <v>5914.6842105263158</v>
      </c>
      <c r="G26" s="8" t="s">
        <v>26</v>
      </c>
      <c r="H26" s="5">
        <v>236.73684210526315</v>
      </c>
      <c r="I26" s="5">
        <v>5914.6842105263158</v>
      </c>
      <c r="K26" s="8" t="s">
        <v>26</v>
      </c>
      <c r="L26" s="5">
        <v>-337</v>
      </c>
    </row>
    <row r="27" spans="1:12" x14ac:dyDescent="0.25">
      <c r="A27" s="8" t="s">
        <v>27</v>
      </c>
      <c r="B27" s="5">
        <v>6418.681818181818</v>
      </c>
      <c r="G27" s="8" t="s">
        <v>27</v>
      </c>
      <c r="H27" s="5">
        <v>271.72727272727275</v>
      </c>
      <c r="I27" s="5">
        <v>6418.681818181818</v>
      </c>
      <c r="K27" s="8" t="s">
        <v>27</v>
      </c>
      <c r="L27" s="5">
        <v>-182</v>
      </c>
    </row>
    <row r="28" spans="1:12" x14ac:dyDescent="0.25">
      <c r="A28" s="7" t="s">
        <v>15</v>
      </c>
      <c r="B28" s="5"/>
      <c r="G28" s="7" t="s">
        <v>15</v>
      </c>
      <c r="H28" s="5"/>
      <c r="I28" s="5"/>
      <c r="K28" s="7" t="s">
        <v>15</v>
      </c>
      <c r="L28" s="5"/>
    </row>
    <row r="29" spans="1:12" x14ac:dyDescent="0.25">
      <c r="A29" s="8" t="s">
        <v>16</v>
      </c>
      <c r="B29" s="5">
        <v>4991.090909090909</v>
      </c>
      <c r="G29" s="8" t="s">
        <v>16</v>
      </c>
      <c r="H29" s="5">
        <v>88.954545454545453</v>
      </c>
      <c r="I29" s="5">
        <v>4991.090909090909</v>
      </c>
      <c r="K29" s="8" t="s">
        <v>16</v>
      </c>
      <c r="L29" s="5">
        <v>-2019</v>
      </c>
    </row>
    <row r="30" spans="1:12" x14ac:dyDescent="0.25">
      <c r="A30" s="8" t="s">
        <v>17</v>
      </c>
      <c r="B30" s="5">
        <v>2781.5263157894738</v>
      </c>
      <c r="G30" s="8" t="s">
        <v>17</v>
      </c>
      <c r="H30" s="5">
        <v>22.684210526315791</v>
      </c>
      <c r="I30" s="5">
        <v>2781.5263157894738</v>
      </c>
      <c r="K30" s="8" t="s">
        <v>17</v>
      </c>
      <c r="L30" s="5">
        <v>-848</v>
      </c>
    </row>
    <row r="31" spans="1:12" x14ac:dyDescent="0.25">
      <c r="A31" s="8" t="s">
        <v>18</v>
      </c>
      <c r="B31" s="5">
        <v>2164.4545454545455</v>
      </c>
      <c r="G31" s="8" t="s">
        <v>18</v>
      </c>
      <c r="H31" s="5">
        <v>21.454545454545453</v>
      </c>
      <c r="I31" s="5">
        <v>2164.4545454545455</v>
      </c>
      <c r="K31" s="8" t="s">
        <v>18</v>
      </c>
      <c r="L31" s="5">
        <v>-140</v>
      </c>
    </row>
    <row r="32" spans="1:12" x14ac:dyDescent="0.25">
      <c r="A32" s="8" t="s">
        <v>19</v>
      </c>
      <c r="B32" s="5">
        <v>2273.1304347826085</v>
      </c>
      <c r="G32" s="8" t="s">
        <v>19</v>
      </c>
      <c r="H32" s="5">
        <v>24.869565217391305</v>
      </c>
      <c r="I32" s="5">
        <v>2273.1304347826085</v>
      </c>
      <c r="K32" s="8" t="s">
        <v>19</v>
      </c>
      <c r="L32" s="5">
        <v>-14</v>
      </c>
    </row>
    <row r="33" spans="1:12" x14ac:dyDescent="0.25">
      <c r="A33" s="8" t="s">
        <v>20</v>
      </c>
      <c r="B33" s="5">
        <v>2406.9444444444443</v>
      </c>
      <c r="G33" s="8" t="s">
        <v>20</v>
      </c>
      <c r="H33" s="5">
        <v>32.833333333333336</v>
      </c>
      <c r="I33" s="5">
        <v>2406.9444444444443</v>
      </c>
      <c r="K33" s="8" t="s">
        <v>20</v>
      </c>
      <c r="L33" s="5">
        <v>12</v>
      </c>
    </row>
    <row r="34" spans="1:12" x14ac:dyDescent="0.25">
      <c r="A34" s="8" t="s">
        <v>21</v>
      </c>
      <c r="B34" s="5">
        <v>2492.4117647058824</v>
      </c>
      <c r="G34" s="8" t="s">
        <v>21</v>
      </c>
      <c r="H34" s="5">
        <v>19.058823529411764</v>
      </c>
      <c r="I34" s="5">
        <v>2492.4117647058824</v>
      </c>
      <c r="K34" s="8" t="s">
        <v>21</v>
      </c>
      <c r="L34" s="5">
        <v>-158</v>
      </c>
    </row>
    <row r="35" spans="1:12" x14ac:dyDescent="0.25">
      <c r="A35" s="8" t="s">
        <v>22</v>
      </c>
      <c r="B35" s="5">
        <v>2187.1904761904761</v>
      </c>
      <c r="G35" s="8" t="s">
        <v>22</v>
      </c>
      <c r="H35" s="5">
        <v>13.952380952380953</v>
      </c>
      <c r="I35" s="5">
        <v>2187.1904761904761</v>
      </c>
      <c r="K35" s="8" t="s">
        <v>22</v>
      </c>
      <c r="L35" s="5">
        <v>-326</v>
      </c>
    </row>
    <row r="36" spans="1:12" x14ac:dyDescent="0.25">
      <c r="A36" s="8" t="s">
        <v>23</v>
      </c>
      <c r="B36" s="5">
        <v>2001.3</v>
      </c>
      <c r="G36" s="8" t="s">
        <v>23</v>
      </c>
      <c r="H36" s="5">
        <v>25.6</v>
      </c>
      <c r="I36" s="5">
        <v>2001.3</v>
      </c>
      <c r="K36" s="8" t="s">
        <v>23</v>
      </c>
      <c r="L36" s="5">
        <v>-147</v>
      </c>
    </row>
    <row r="37" spans="1:12" x14ac:dyDescent="0.25">
      <c r="A37" s="8" t="s">
        <v>24</v>
      </c>
      <c r="B37" s="5">
        <v>2082.2272727272725</v>
      </c>
      <c r="G37" s="8" t="s">
        <v>24</v>
      </c>
      <c r="H37" s="5">
        <v>35.81818181818182</v>
      </c>
      <c r="I37" s="5">
        <v>2082.2272727272725</v>
      </c>
      <c r="K37" s="8" t="s">
        <v>24</v>
      </c>
      <c r="L37" s="5">
        <v>-33</v>
      </c>
    </row>
    <row r="38" spans="1:12" x14ac:dyDescent="0.25">
      <c r="A38" s="8" t="s">
        <v>25</v>
      </c>
      <c r="B38" s="5">
        <v>2231.0476190476193</v>
      </c>
      <c r="G38" s="8" t="s">
        <v>25</v>
      </c>
      <c r="H38" s="5">
        <v>34.333333333333336</v>
      </c>
      <c r="I38" s="5">
        <v>2231.0476190476193</v>
      </c>
      <c r="K38" s="8" t="s">
        <v>25</v>
      </c>
      <c r="L38" s="5">
        <v>-74</v>
      </c>
    </row>
    <row r="39" spans="1:12" x14ac:dyDescent="0.25">
      <c r="A39" s="8" t="s">
        <v>26</v>
      </c>
      <c r="B39" s="5">
        <v>2325.8947368421054</v>
      </c>
      <c r="G39" s="8" t="s">
        <v>26</v>
      </c>
      <c r="H39" s="5">
        <v>34.789473684210527</v>
      </c>
      <c r="I39" s="5">
        <v>2325.8947368421054</v>
      </c>
      <c r="K39" s="8" t="s">
        <v>26</v>
      </c>
      <c r="L39" s="5">
        <v>-30</v>
      </c>
    </row>
    <row r="40" spans="1:12" x14ac:dyDescent="0.25">
      <c r="A40" s="8" t="s">
        <v>27</v>
      </c>
      <c r="B40" s="5">
        <v>2445.2666666666669</v>
      </c>
      <c r="G40" s="8" t="s">
        <v>27</v>
      </c>
      <c r="H40" s="5">
        <v>36.200000000000003</v>
      </c>
      <c r="I40" s="5">
        <v>2445.2666666666669</v>
      </c>
      <c r="K40" s="8" t="s">
        <v>27</v>
      </c>
      <c r="L40" s="5">
        <v>-28</v>
      </c>
    </row>
    <row r="41" spans="1:12" x14ac:dyDescent="0.25">
      <c r="A41" s="7" t="s">
        <v>12</v>
      </c>
      <c r="B41" s="5">
        <v>6061.2749999999996</v>
      </c>
      <c r="G41" s="7" t="s">
        <v>12</v>
      </c>
      <c r="H41" s="5">
        <v>171.49444444444444</v>
      </c>
      <c r="I41" s="5">
        <v>6061.2749999999996</v>
      </c>
      <c r="K41" s="7" t="s">
        <v>12</v>
      </c>
      <c r="L41" s="5">
        <v>-57516</v>
      </c>
    </row>
    <row r="44" spans="1:12" x14ac:dyDescent="0.25">
      <c r="A44" s="6" t="s">
        <v>28</v>
      </c>
      <c r="B44" t="s">
        <v>34</v>
      </c>
      <c r="C44" t="s">
        <v>29</v>
      </c>
    </row>
    <row r="45" spans="1:12" x14ac:dyDescent="0.25">
      <c r="A45" s="7" t="s">
        <v>13</v>
      </c>
      <c r="B45" s="5"/>
      <c r="C45" s="5"/>
    </row>
    <row r="46" spans="1:12" x14ac:dyDescent="0.25">
      <c r="A46" s="8" t="s">
        <v>16</v>
      </c>
      <c r="B46" s="5">
        <v>276</v>
      </c>
      <c r="C46" s="5">
        <v>1856</v>
      </c>
    </row>
    <row r="47" spans="1:12" x14ac:dyDescent="0.25">
      <c r="A47" s="8" t="s">
        <v>17</v>
      </c>
      <c r="B47" s="5">
        <v>2637</v>
      </c>
      <c r="C47" s="5">
        <v>5183</v>
      </c>
    </row>
    <row r="48" spans="1:12" x14ac:dyDescent="0.25">
      <c r="A48" s="8" t="s">
        <v>18</v>
      </c>
      <c r="B48" s="5">
        <v>3399</v>
      </c>
      <c r="C48" s="5">
        <v>5375</v>
      </c>
    </row>
    <row r="49" spans="1:3" x14ac:dyDescent="0.25">
      <c r="A49" s="8" t="s">
        <v>19</v>
      </c>
      <c r="B49" s="5">
        <v>3967</v>
      </c>
      <c r="C49" s="5">
        <v>5668</v>
      </c>
    </row>
    <row r="50" spans="1:3" x14ac:dyDescent="0.25">
      <c r="A50" s="8" t="s">
        <v>20</v>
      </c>
      <c r="B50" s="5">
        <v>3622</v>
      </c>
      <c r="C50" s="5">
        <v>6256</v>
      </c>
    </row>
    <row r="51" spans="1:3" x14ac:dyDescent="0.25">
      <c r="A51" s="8" t="s">
        <v>21</v>
      </c>
      <c r="B51" s="5">
        <v>2416</v>
      </c>
      <c r="C51" s="5">
        <v>4029</v>
      </c>
    </row>
    <row r="52" spans="1:3" x14ac:dyDescent="0.25">
      <c r="A52" s="8" t="s">
        <v>22</v>
      </c>
      <c r="B52" s="5">
        <v>3897</v>
      </c>
      <c r="C52" s="5">
        <v>4407</v>
      </c>
    </row>
    <row r="53" spans="1:3" x14ac:dyDescent="0.25">
      <c r="A53" s="8" t="s">
        <v>23</v>
      </c>
      <c r="B53" s="5">
        <v>3587</v>
      </c>
      <c r="C53" s="5">
        <v>6470</v>
      </c>
    </row>
    <row r="54" spans="1:3" x14ac:dyDescent="0.25">
      <c r="A54" s="8" t="s">
        <v>24</v>
      </c>
      <c r="B54" s="5">
        <v>3971</v>
      </c>
      <c r="C54" s="5">
        <v>6546</v>
      </c>
    </row>
    <row r="55" spans="1:3" x14ac:dyDescent="0.25">
      <c r="A55" s="8" t="s">
        <v>25</v>
      </c>
      <c r="B55" s="5">
        <v>2049</v>
      </c>
      <c r="C55" s="5">
        <v>7658</v>
      </c>
    </row>
    <row r="56" spans="1:3" x14ac:dyDescent="0.25">
      <c r="A56" s="8" t="s">
        <v>26</v>
      </c>
      <c r="B56" s="5">
        <v>3198</v>
      </c>
      <c r="C56" s="5">
        <v>5992</v>
      </c>
    </row>
    <row r="57" spans="1:3" x14ac:dyDescent="0.25">
      <c r="A57" s="8" t="s">
        <v>27</v>
      </c>
      <c r="B57" s="5">
        <v>3105</v>
      </c>
      <c r="C57" s="5">
        <v>6804</v>
      </c>
    </row>
    <row r="58" spans="1:3" x14ac:dyDescent="0.25">
      <c r="A58" s="7" t="s">
        <v>14</v>
      </c>
      <c r="B58" s="5"/>
      <c r="C58" s="5"/>
    </row>
    <row r="59" spans="1:3" x14ac:dyDescent="0.25">
      <c r="A59" s="8" t="s">
        <v>16</v>
      </c>
      <c r="B59" s="5">
        <v>2850</v>
      </c>
      <c r="C59" s="5">
        <v>6496</v>
      </c>
    </row>
    <row r="60" spans="1:3" x14ac:dyDescent="0.25">
      <c r="A60" s="8" t="s">
        <v>17</v>
      </c>
      <c r="B60" s="5">
        <v>6332</v>
      </c>
      <c r="C60" s="5">
        <v>5273</v>
      </c>
    </row>
    <row r="61" spans="1:3" x14ac:dyDescent="0.25">
      <c r="A61" s="8" t="s">
        <v>18</v>
      </c>
      <c r="B61" s="5">
        <v>5209</v>
      </c>
      <c r="C61" s="5">
        <v>5678</v>
      </c>
    </row>
    <row r="62" spans="1:3" x14ac:dyDescent="0.25">
      <c r="A62" s="8" t="s">
        <v>19</v>
      </c>
      <c r="B62" s="5">
        <v>5178</v>
      </c>
      <c r="C62" s="5">
        <v>4474</v>
      </c>
    </row>
    <row r="63" spans="1:3" x14ac:dyDescent="0.25">
      <c r="A63" s="8" t="s">
        <v>20</v>
      </c>
      <c r="B63" s="5">
        <v>5194</v>
      </c>
      <c r="C63" s="5">
        <v>4336</v>
      </c>
    </row>
    <row r="64" spans="1:3" x14ac:dyDescent="0.25">
      <c r="A64" s="8" t="s">
        <v>21</v>
      </c>
      <c r="B64" s="5">
        <v>4882</v>
      </c>
      <c r="C64" s="5">
        <v>4911</v>
      </c>
    </row>
    <row r="65" spans="1:3" x14ac:dyDescent="0.25">
      <c r="A65" s="8" t="s">
        <v>22</v>
      </c>
      <c r="B65" s="5">
        <v>3679</v>
      </c>
      <c r="C65" s="5">
        <v>3899</v>
      </c>
    </row>
    <row r="66" spans="1:3" x14ac:dyDescent="0.25">
      <c r="A66" s="8" t="s">
        <v>23</v>
      </c>
      <c r="B66" s="5">
        <v>3546</v>
      </c>
      <c r="C66" s="5">
        <v>3073</v>
      </c>
    </row>
    <row r="67" spans="1:3" x14ac:dyDescent="0.25">
      <c r="A67" s="8" t="s">
        <v>24</v>
      </c>
      <c r="B67" s="5">
        <v>3987</v>
      </c>
      <c r="C67" s="5">
        <v>3692</v>
      </c>
    </row>
    <row r="68" spans="1:3" x14ac:dyDescent="0.25">
      <c r="A68" s="8" t="s">
        <v>25</v>
      </c>
      <c r="B68" s="5">
        <v>3886</v>
      </c>
      <c r="C68" s="5">
        <v>3194</v>
      </c>
    </row>
    <row r="69" spans="1:3" x14ac:dyDescent="0.25">
      <c r="A69" s="8" t="s">
        <v>26</v>
      </c>
      <c r="B69" s="5">
        <v>3414</v>
      </c>
      <c r="C69" s="5">
        <v>3001</v>
      </c>
    </row>
    <row r="70" spans="1:3" x14ac:dyDescent="0.25">
      <c r="A70" s="8" t="s">
        <v>27</v>
      </c>
      <c r="B70" s="5">
        <v>4395</v>
      </c>
      <c r="C70" s="5">
        <v>3662</v>
      </c>
    </row>
    <row r="71" spans="1:3" x14ac:dyDescent="0.25">
      <c r="A71" s="7" t="s">
        <v>15</v>
      </c>
      <c r="B71" s="5"/>
      <c r="C71" s="5"/>
    </row>
    <row r="72" spans="1:3" x14ac:dyDescent="0.25">
      <c r="A72" s="8" t="s">
        <v>16</v>
      </c>
      <c r="B72" s="5">
        <v>1750</v>
      </c>
      <c r="C72" s="5">
        <v>3330</v>
      </c>
    </row>
    <row r="73" spans="1:3" x14ac:dyDescent="0.25">
      <c r="A73" s="8" t="s">
        <v>17</v>
      </c>
      <c r="B73" s="5">
        <v>341</v>
      </c>
      <c r="C73" s="5">
        <v>1160</v>
      </c>
    </row>
    <row r="74" spans="1:3" x14ac:dyDescent="0.25">
      <c r="A74" s="8" t="s">
        <v>18</v>
      </c>
      <c r="B74" s="5">
        <v>190</v>
      </c>
      <c r="C74" s="5">
        <v>309</v>
      </c>
    </row>
    <row r="75" spans="1:3" x14ac:dyDescent="0.25">
      <c r="A75" s="8" t="s">
        <v>19</v>
      </c>
      <c r="B75" s="5">
        <v>230</v>
      </c>
      <c r="C75" s="5">
        <v>203</v>
      </c>
    </row>
    <row r="76" spans="1:3" x14ac:dyDescent="0.25">
      <c r="A76" s="8" t="s">
        <v>20</v>
      </c>
      <c r="B76" s="5">
        <v>252</v>
      </c>
      <c r="C76" s="5">
        <v>205</v>
      </c>
    </row>
    <row r="77" spans="1:3" x14ac:dyDescent="0.25">
      <c r="A77" s="8" t="s">
        <v>21</v>
      </c>
      <c r="B77" s="5">
        <v>138</v>
      </c>
      <c r="C77" s="5">
        <v>281</v>
      </c>
    </row>
    <row r="78" spans="1:3" x14ac:dyDescent="0.25">
      <c r="A78" s="8" t="s">
        <v>22</v>
      </c>
      <c r="B78" s="5">
        <v>88</v>
      </c>
      <c r="C78" s="5">
        <v>396</v>
      </c>
    </row>
    <row r="79" spans="1:3" x14ac:dyDescent="0.25">
      <c r="A79" s="8" t="s">
        <v>23</v>
      </c>
      <c r="B79" s="5">
        <v>147</v>
      </c>
      <c r="C79" s="5">
        <v>254</v>
      </c>
    </row>
    <row r="80" spans="1:3" x14ac:dyDescent="0.25">
      <c r="A80" s="8" t="s">
        <v>24</v>
      </c>
      <c r="B80" s="5">
        <v>260</v>
      </c>
      <c r="C80" s="5">
        <v>237</v>
      </c>
    </row>
    <row r="81" spans="1:3" x14ac:dyDescent="0.25">
      <c r="A81" s="8" t="s">
        <v>25</v>
      </c>
      <c r="B81" s="5">
        <v>263</v>
      </c>
      <c r="C81" s="5">
        <v>242</v>
      </c>
    </row>
    <row r="82" spans="1:3" x14ac:dyDescent="0.25">
      <c r="A82" s="8" t="s">
        <v>26</v>
      </c>
      <c r="B82" s="5">
        <v>182</v>
      </c>
      <c r="C82" s="5">
        <v>159</v>
      </c>
    </row>
    <row r="83" spans="1:3" x14ac:dyDescent="0.25">
      <c r="A83" s="8" t="s">
        <v>27</v>
      </c>
      <c r="B83" s="5">
        <v>124</v>
      </c>
      <c r="C83" s="5">
        <v>144</v>
      </c>
    </row>
    <row r="84" spans="1:3" x14ac:dyDescent="0.25">
      <c r="A84" s="7" t="s">
        <v>12</v>
      </c>
      <c r="B84" s="5">
        <v>92641</v>
      </c>
      <c r="C84" s="5">
        <v>124853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FDD-F57E-4A84-AE14-DAB349BC677D}">
  <dimension ref="A1:V47"/>
  <sheetViews>
    <sheetView showGridLines="0" tabSelected="1" zoomScale="70" zoomScaleNormal="70" workbookViewId="0">
      <selection activeCell="Z29" sqref="Z29"/>
    </sheetView>
  </sheetViews>
  <sheetFormatPr defaultRowHeight="15" x14ac:dyDescent="0.25"/>
  <sheetData>
    <row r="1" spans="1:22" ht="31.5" customHeight="1" x14ac:dyDescent="0.25">
      <c r="A1" s="10" t="s">
        <v>35</v>
      </c>
      <c r="B1" s="10"/>
      <c r="C1" s="10"/>
      <c r="D1" s="10"/>
      <c r="E1" s="10"/>
      <c r="F1" s="10"/>
      <c r="G1" s="10"/>
      <c r="H1" s="10"/>
      <c r="I1" s="10"/>
      <c r="J1" s="10"/>
      <c r="K1" s="10"/>
      <c r="L1" s="10"/>
      <c r="M1" s="10"/>
      <c r="N1" s="10"/>
      <c r="O1" s="10"/>
      <c r="P1" s="10"/>
      <c r="Q1" s="10"/>
      <c r="R1" s="10"/>
      <c r="S1" s="10"/>
      <c r="T1" s="10"/>
      <c r="U1" s="10"/>
      <c r="V1" s="10"/>
    </row>
    <row r="2" spans="1:22" ht="15" customHeight="1" x14ac:dyDescent="0.25">
      <c r="A2" s="10"/>
      <c r="B2" s="10"/>
      <c r="C2" s="10"/>
      <c r="D2" s="10"/>
      <c r="E2" s="10"/>
      <c r="F2" s="10"/>
      <c r="G2" s="10"/>
      <c r="H2" s="10"/>
      <c r="I2" s="10"/>
      <c r="J2" s="10"/>
      <c r="K2" s="10"/>
      <c r="L2" s="10"/>
      <c r="M2" s="10"/>
      <c r="N2" s="10"/>
      <c r="O2" s="10"/>
      <c r="P2" s="10"/>
      <c r="Q2" s="10"/>
      <c r="R2" s="10"/>
      <c r="S2" s="10"/>
      <c r="T2" s="10"/>
      <c r="U2" s="10"/>
      <c r="V2" s="10"/>
    </row>
    <row r="3" spans="1:22" ht="27.75" customHeight="1" x14ac:dyDescent="0.25">
      <c r="A3" s="11" t="s">
        <v>36</v>
      </c>
      <c r="B3" s="11"/>
      <c r="C3" s="11"/>
      <c r="D3" s="11"/>
      <c r="E3" s="11"/>
      <c r="F3" s="11"/>
      <c r="G3" s="11"/>
      <c r="H3" s="11"/>
      <c r="I3" s="11"/>
      <c r="J3" s="11"/>
      <c r="K3" s="11"/>
      <c r="L3" s="11"/>
      <c r="M3" s="11"/>
      <c r="N3" s="11"/>
      <c r="O3" s="11"/>
      <c r="P3" s="11"/>
      <c r="Q3" s="11"/>
      <c r="R3" s="11"/>
      <c r="S3" s="11"/>
      <c r="T3" s="11"/>
      <c r="U3" s="11"/>
      <c r="V3" s="11"/>
    </row>
    <row r="4" spans="1:22" x14ac:dyDescent="0.25">
      <c r="A4" s="12"/>
      <c r="B4" s="12"/>
      <c r="C4" s="12"/>
      <c r="D4" s="12"/>
      <c r="E4" s="12"/>
      <c r="F4" s="12"/>
      <c r="G4" s="12"/>
      <c r="H4" s="12"/>
      <c r="I4" s="12"/>
      <c r="J4" s="12"/>
      <c r="K4" s="12"/>
      <c r="L4" s="12"/>
      <c r="M4" s="12"/>
      <c r="N4" s="12"/>
      <c r="O4" s="12"/>
      <c r="P4" s="12"/>
      <c r="Q4" s="12"/>
      <c r="R4" s="12"/>
      <c r="S4" s="12"/>
      <c r="T4" s="12"/>
      <c r="U4" s="12"/>
      <c r="V4" s="12"/>
    </row>
    <row r="5" spans="1:22" x14ac:dyDescent="0.25">
      <c r="A5" s="12"/>
      <c r="B5" s="12"/>
      <c r="C5" s="12"/>
      <c r="D5" s="12"/>
      <c r="E5" s="12"/>
      <c r="F5" s="12"/>
      <c r="G5" s="12"/>
      <c r="H5" s="12"/>
      <c r="I5" s="12"/>
      <c r="J5" s="12"/>
      <c r="K5" s="12"/>
      <c r="L5" s="12"/>
      <c r="M5" s="12"/>
      <c r="N5" s="12"/>
      <c r="O5" s="12"/>
      <c r="P5" s="12"/>
      <c r="Q5" s="12"/>
      <c r="R5" s="12"/>
      <c r="S5" s="12"/>
      <c r="T5" s="12"/>
      <c r="U5" s="12"/>
      <c r="V5" s="12"/>
    </row>
    <row r="6" spans="1:22" x14ac:dyDescent="0.25">
      <c r="A6" s="12"/>
      <c r="B6" s="12"/>
      <c r="C6" s="12"/>
      <c r="D6" s="12"/>
      <c r="E6" s="12"/>
      <c r="F6" s="12"/>
      <c r="G6" s="12"/>
      <c r="H6" s="12"/>
      <c r="I6" s="12"/>
      <c r="J6" s="12"/>
      <c r="K6" s="12"/>
      <c r="L6" s="12"/>
      <c r="M6" s="12"/>
      <c r="N6" s="12"/>
      <c r="O6" s="12"/>
      <c r="P6" s="12"/>
      <c r="Q6" s="12"/>
      <c r="R6" s="12"/>
      <c r="S6" s="12"/>
      <c r="T6" s="12"/>
      <c r="U6" s="12"/>
      <c r="V6" s="12"/>
    </row>
    <row r="7" spans="1:22" x14ac:dyDescent="0.25">
      <c r="A7" s="12"/>
      <c r="B7" s="12"/>
      <c r="C7" s="12"/>
      <c r="D7" s="12"/>
      <c r="E7" s="12"/>
      <c r="F7" s="12"/>
      <c r="G7" s="12"/>
      <c r="H7" s="12"/>
      <c r="I7" s="12"/>
      <c r="J7" s="12"/>
      <c r="K7" s="12"/>
      <c r="L7" s="12"/>
      <c r="M7" s="12"/>
      <c r="N7" s="12"/>
      <c r="O7" s="12"/>
      <c r="P7" s="12"/>
      <c r="Q7" s="12"/>
      <c r="R7" s="12"/>
      <c r="S7" s="12"/>
      <c r="T7" s="12"/>
      <c r="U7" s="12"/>
      <c r="V7" s="12"/>
    </row>
    <row r="8" spans="1:22" x14ac:dyDescent="0.25">
      <c r="A8" s="12"/>
      <c r="B8" s="12"/>
      <c r="C8" s="12"/>
      <c r="D8" s="12"/>
      <c r="E8" s="12"/>
      <c r="F8" s="12"/>
      <c r="G8" s="12"/>
      <c r="H8" s="12"/>
      <c r="I8" s="12"/>
      <c r="J8" s="12"/>
      <c r="K8" s="12"/>
      <c r="L8" s="12"/>
      <c r="M8" s="12"/>
      <c r="N8" s="12"/>
      <c r="O8" s="12"/>
      <c r="P8" s="12"/>
      <c r="Q8" s="12"/>
      <c r="R8" s="12"/>
      <c r="S8" s="12"/>
      <c r="T8" s="12"/>
      <c r="U8" s="12"/>
      <c r="V8" s="12"/>
    </row>
    <row r="9" spans="1:22" x14ac:dyDescent="0.25">
      <c r="A9" s="12"/>
      <c r="B9" s="12"/>
      <c r="C9" s="12"/>
      <c r="D9" s="12"/>
      <c r="E9" s="12"/>
      <c r="F9" s="12"/>
      <c r="G9" s="12"/>
      <c r="H9" s="12"/>
      <c r="I9" s="12"/>
      <c r="J9" s="12"/>
      <c r="K9" s="12"/>
      <c r="L9" s="12"/>
      <c r="M9" s="12"/>
      <c r="N9" s="12"/>
      <c r="O9" s="12"/>
      <c r="P9" s="12"/>
      <c r="Q9" s="12"/>
      <c r="R9" s="12"/>
      <c r="S9" s="12"/>
      <c r="T9" s="12"/>
      <c r="U9" s="12"/>
      <c r="V9" s="12"/>
    </row>
    <row r="10" spans="1:22" x14ac:dyDescent="0.25">
      <c r="A10" s="12"/>
      <c r="B10" s="12"/>
      <c r="C10" s="12"/>
      <c r="D10" s="12"/>
      <c r="E10" s="12"/>
      <c r="F10" s="12"/>
      <c r="G10" s="12"/>
      <c r="H10" s="12"/>
      <c r="I10" s="12"/>
      <c r="J10" s="12"/>
      <c r="K10" s="12"/>
      <c r="L10" s="12"/>
      <c r="M10" s="12"/>
      <c r="N10" s="12"/>
      <c r="O10" s="12"/>
      <c r="P10" s="12"/>
      <c r="Q10" s="12"/>
      <c r="R10" s="12"/>
      <c r="S10" s="12"/>
      <c r="T10" s="12"/>
      <c r="U10" s="12"/>
      <c r="V10" s="12"/>
    </row>
    <row r="11" spans="1:22" x14ac:dyDescent="0.25">
      <c r="A11" s="12"/>
      <c r="B11" s="12"/>
      <c r="C11" s="12"/>
      <c r="D11" s="12"/>
      <c r="E11" s="12"/>
      <c r="F11" s="12"/>
      <c r="G11" s="12"/>
      <c r="H11" s="12"/>
      <c r="I11" s="12"/>
      <c r="J11" s="12"/>
      <c r="K11" s="12"/>
      <c r="L11" s="12"/>
      <c r="M11" s="12"/>
      <c r="N11" s="12"/>
      <c r="O11" s="12"/>
      <c r="P11" s="12"/>
      <c r="Q11" s="12"/>
      <c r="R11" s="12"/>
      <c r="S11" s="12"/>
      <c r="T11" s="12"/>
      <c r="U11" s="12"/>
      <c r="V11" s="12"/>
    </row>
    <row r="12" spans="1:22" x14ac:dyDescent="0.25">
      <c r="A12" s="12"/>
      <c r="B12" s="12"/>
      <c r="C12" s="12"/>
      <c r="D12" s="12"/>
      <c r="E12" s="12"/>
      <c r="F12" s="12"/>
      <c r="G12" s="12"/>
      <c r="H12" s="12"/>
      <c r="I12" s="12"/>
      <c r="J12" s="12"/>
      <c r="K12" s="12"/>
      <c r="L12" s="12"/>
      <c r="M12" s="12"/>
      <c r="N12" s="12"/>
      <c r="O12" s="12"/>
      <c r="P12" s="12"/>
      <c r="Q12" s="12"/>
      <c r="R12" s="12"/>
      <c r="S12" s="12"/>
      <c r="T12" s="12"/>
      <c r="U12" s="12"/>
      <c r="V12" s="12"/>
    </row>
    <row r="13" spans="1:22" x14ac:dyDescent="0.25">
      <c r="A13" s="12"/>
      <c r="B13" s="12"/>
      <c r="C13" s="12"/>
      <c r="D13" s="12"/>
      <c r="E13" s="12"/>
      <c r="F13" s="12"/>
      <c r="G13" s="12"/>
      <c r="H13" s="12"/>
      <c r="I13" s="12"/>
      <c r="J13" s="12"/>
      <c r="K13" s="12"/>
      <c r="L13" s="12"/>
      <c r="M13" s="12"/>
      <c r="N13" s="12"/>
      <c r="O13" s="12"/>
      <c r="P13" s="12"/>
      <c r="Q13" s="12"/>
      <c r="R13" s="12"/>
      <c r="S13" s="12"/>
      <c r="T13" s="12"/>
      <c r="U13" s="12"/>
      <c r="V13" s="12"/>
    </row>
    <row r="14" spans="1:22" x14ac:dyDescent="0.25">
      <c r="A14" s="12"/>
      <c r="B14" s="12"/>
      <c r="C14" s="12"/>
      <c r="D14" s="12"/>
      <c r="E14" s="12"/>
      <c r="F14" s="12"/>
      <c r="G14" s="12"/>
      <c r="H14" s="12"/>
      <c r="I14" s="12"/>
      <c r="J14" s="12"/>
      <c r="K14" s="12"/>
      <c r="L14" s="12"/>
      <c r="M14" s="12"/>
      <c r="N14" s="12"/>
      <c r="O14" s="12"/>
      <c r="P14" s="12"/>
      <c r="Q14" s="12"/>
      <c r="R14" s="12"/>
      <c r="S14" s="12"/>
      <c r="T14" s="12"/>
      <c r="U14" s="12"/>
      <c r="V14" s="12"/>
    </row>
    <row r="15" spans="1:22" x14ac:dyDescent="0.25">
      <c r="A15" s="12"/>
      <c r="B15" s="12"/>
      <c r="C15" s="12"/>
      <c r="D15" s="12"/>
      <c r="E15" s="12"/>
      <c r="F15" s="12"/>
      <c r="G15" s="12"/>
      <c r="H15" s="12"/>
      <c r="I15" s="12"/>
      <c r="J15" s="12"/>
      <c r="K15" s="12"/>
      <c r="L15" s="12"/>
      <c r="M15" s="12"/>
      <c r="N15" s="12"/>
      <c r="O15" s="12"/>
      <c r="P15" s="12"/>
      <c r="Q15" s="12"/>
      <c r="R15" s="12"/>
      <c r="S15" s="12"/>
      <c r="T15" s="12"/>
      <c r="U15" s="12"/>
      <c r="V15" s="12"/>
    </row>
    <row r="16" spans="1:22" x14ac:dyDescent="0.2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2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2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2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2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2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2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2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2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2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2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2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2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2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2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2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25">
      <c r="A32" s="12"/>
      <c r="B32" s="12"/>
      <c r="C32" s="12"/>
      <c r="D32" s="12"/>
      <c r="E32" s="12"/>
      <c r="F32" s="12"/>
      <c r="G32" s="12"/>
      <c r="H32" s="12"/>
      <c r="I32" s="12"/>
      <c r="J32" s="12"/>
      <c r="K32" s="12"/>
      <c r="L32" s="12"/>
      <c r="M32" s="12"/>
      <c r="N32" s="12"/>
      <c r="O32" s="12"/>
      <c r="P32" s="12"/>
      <c r="Q32" s="12"/>
      <c r="R32" s="12"/>
      <c r="S32" s="12"/>
      <c r="T32" s="12"/>
      <c r="U32" s="12"/>
      <c r="V32" s="12"/>
    </row>
    <row r="33" spans="1:22" x14ac:dyDescent="0.25">
      <c r="A33" s="12"/>
      <c r="B33" s="12"/>
      <c r="C33" s="12"/>
      <c r="D33" s="12"/>
      <c r="E33" s="12"/>
      <c r="F33" s="12"/>
      <c r="G33" s="12"/>
      <c r="H33" s="12"/>
      <c r="I33" s="12"/>
      <c r="J33" s="12"/>
      <c r="K33" s="12"/>
      <c r="L33" s="12"/>
      <c r="M33" s="12"/>
      <c r="N33" s="12"/>
      <c r="O33" s="12"/>
      <c r="P33" s="12"/>
      <c r="Q33" s="12"/>
      <c r="R33" s="12"/>
      <c r="S33" s="12"/>
      <c r="T33" s="12"/>
      <c r="U33" s="12"/>
      <c r="V33" s="12"/>
    </row>
    <row r="34" spans="1:22" x14ac:dyDescent="0.25">
      <c r="A34" s="12"/>
      <c r="B34" s="12"/>
      <c r="C34" s="12"/>
      <c r="D34" s="12"/>
      <c r="E34" s="12"/>
      <c r="F34" s="12"/>
      <c r="G34" s="12"/>
      <c r="H34" s="12"/>
      <c r="I34" s="12"/>
      <c r="J34" s="12"/>
      <c r="K34" s="12"/>
      <c r="L34" s="12"/>
      <c r="M34" s="12"/>
      <c r="N34" s="12"/>
      <c r="O34" s="12"/>
      <c r="P34" s="12"/>
      <c r="Q34" s="12"/>
      <c r="R34" s="12"/>
      <c r="S34" s="12"/>
      <c r="T34" s="12"/>
      <c r="U34" s="12"/>
      <c r="V34" s="12"/>
    </row>
    <row r="35" spans="1:22" x14ac:dyDescent="0.25">
      <c r="A35" s="12"/>
      <c r="B35" s="12"/>
      <c r="C35" s="12"/>
      <c r="D35" s="12"/>
      <c r="E35" s="12"/>
      <c r="F35" s="12"/>
      <c r="G35" s="12"/>
      <c r="H35" s="12"/>
      <c r="I35" s="12"/>
      <c r="J35" s="12"/>
      <c r="K35" s="12"/>
      <c r="L35" s="12"/>
      <c r="M35" s="12"/>
      <c r="N35" s="12"/>
      <c r="O35" s="12"/>
      <c r="P35" s="12"/>
      <c r="Q35" s="12"/>
      <c r="R35" s="12"/>
      <c r="S35" s="12"/>
      <c r="T35" s="12"/>
      <c r="U35" s="12"/>
      <c r="V35" s="12"/>
    </row>
    <row r="36" spans="1:22" x14ac:dyDescent="0.25">
      <c r="A36" s="12"/>
      <c r="B36" s="12"/>
      <c r="C36" s="12"/>
      <c r="D36" s="12"/>
      <c r="E36" s="12"/>
      <c r="F36" s="12"/>
      <c r="G36" s="12"/>
      <c r="H36" s="12"/>
      <c r="I36" s="12"/>
      <c r="J36" s="12"/>
      <c r="K36" s="12"/>
      <c r="L36" s="12"/>
      <c r="M36" s="12"/>
      <c r="N36" s="12"/>
      <c r="O36" s="12"/>
      <c r="P36" s="12"/>
      <c r="Q36" s="12"/>
      <c r="R36" s="12"/>
      <c r="S36" s="12"/>
      <c r="T36" s="12"/>
      <c r="U36" s="12"/>
      <c r="V36" s="12"/>
    </row>
    <row r="37" spans="1:22" x14ac:dyDescent="0.25">
      <c r="A37" s="12"/>
      <c r="B37" s="12"/>
      <c r="C37" s="12"/>
      <c r="D37" s="12"/>
      <c r="E37" s="12"/>
      <c r="F37" s="12"/>
      <c r="G37" s="12"/>
      <c r="H37" s="12"/>
      <c r="I37" s="12"/>
      <c r="J37" s="12"/>
      <c r="K37" s="12"/>
      <c r="L37" s="12"/>
      <c r="M37" s="12"/>
      <c r="N37" s="12"/>
      <c r="O37" s="12"/>
      <c r="P37" s="12"/>
      <c r="Q37" s="12"/>
      <c r="R37" s="12"/>
      <c r="S37" s="12"/>
      <c r="T37" s="12"/>
      <c r="U37" s="12"/>
      <c r="V37" s="12"/>
    </row>
    <row r="38" spans="1:22" x14ac:dyDescent="0.25">
      <c r="A38" s="12"/>
      <c r="B38" s="12"/>
      <c r="C38" s="12"/>
      <c r="D38" s="12"/>
      <c r="E38" s="12"/>
      <c r="F38" s="12"/>
      <c r="G38" s="12"/>
      <c r="H38" s="12"/>
      <c r="I38" s="12"/>
      <c r="J38" s="12"/>
      <c r="K38" s="12"/>
      <c r="L38" s="12"/>
      <c r="M38" s="12"/>
      <c r="N38" s="12"/>
      <c r="O38" s="12"/>
      <c r="P38" s="12"/>
      <c r="Q38" s="12"/>
      <c r="R38" s="12"/>
      <c r="S38" s="12"/>
      <c r="T38" s="12"/>
      <c r="U38" s="12"/>
      <c r="V38" s="12"/>
    </row>
    <row r="39" spans="1:22" x14ac:dyDescent="0.25">
      <c r="A39" s="12"/>
      <c r="B39" s="12"/>
      <c r="C39" s="12"/>
      <c r="D39" s="12"/>
      <c r="E39" s="12"/>
      <c r="F39" s="12"/>
      <c r="G39" s="12"/>
      <c r="H39" s="12"/>
      <c r="I39" s="12"/>
      <c r="J39" s="12"/>
      <c r="K39" s="12"/>
      <c r="L39" s="12"/>
      <c r="M39" s="12"/>
      <c r="N39" s="12"/>
      <c r="O39" s="12"/>
      <c r="P39" s="12"/>
      <c r="Q39" s="12"/>
      <c r="R39" s="12"/>
      <c r="S39" s="12"/>
      <c r="T39" s="12"/>
      <c r="U39" s="12"/>
      <c r="V39" s="12"/>
    </row>
    <row r="40" spans="1:22" x14ac:dyDescent="0.25">
      <c r="A40" s="12"/>
      <c r="B40" s="12"/>
      <c r="C40" s="12"/>
      <c r="D40" s="12"/>
      <c r="E40" s="12"/>
      <c r="F40" s="12"/>
      <c r="G40" s="12"/>
      <c r="H40" s="12"/>
      <c r="I40" s="12"/>
      <c r="J40" s="12"/>
      <c r="K40" s="12"/>
      <c r="L40" s="12"/>
      <c r="M40" s="12"/>
      <c r="N40" s="12"/>
      <c r="O40" s="12"/>
      <c r="P40" s="12"/>
      <c r="Q40" s="12"/>
      <c r="R40" s="12"/>
      <c r="S40" s="12"/>
      <c r="T40" s="12"/>
      <c r="U40" s="12"/>
      <c r="V40" s="12"/>
    </row>
    <row r="41" spans="1:22" x14ac:dyDescent="0.25">
      <c r="A41" s="12"/>
      <c r="B41" s="12"/>
      <c r="C41" s="12"/>
      <c r="D41" s="12"/>
      <c r="E41" s="12"/>
      <c r="F41" s="12"/>
      <c r="G41" s="12"/>
      <c r="H41" s="12"/>
      <c r="I41" s="12"/>
      <c r="J41" s="12"/>
      <c r="K41" s="12"/>
      <c r="L41" s="12"/>
      <c r="M41" s="12"/>
      <c r="N41" s="12"/>
      <c r="O41" s="12"/>
      <c r="P41" s="12"/>
      <c r="Q41" s="12"/>
      <c r="R41" s="12"/>
      <c r="S41" s="12"/>
      <c r="T41" s="12"/>
      <c r="U41" s="12"/>
      <c r="V41" s="12"/>
    </row>
    <row r="42" spans="1:22" x14ac:dyDescent="0.25">
      <c r="A42" s="12"/>
      <c r="B42" s="12"/>
      <c r="C42" s="12"/>
      <c r="D42" s="12"/>
      <c r="E42" s="12"/>
      <c r="F42" s="12"/>
      <c r="G42" s="12"/>
      <c r="H42" s="12"/>
      <c r="I42" s="12"/>
      <c r="J42" s="12"/>
      <c r="K42" s="12"/>
      <c r="L42" s="12"/>
      <c r="M42" s="12"/>
      <c r="N42" s="12"/>
      <c r="O42" s="12"/>
      <c r="P42" s="12"/>
      <c r="Q42" s="12"/>
      <c r="R42" s="12"/>
      <c r="S42" s="12"/>
      <c r="T42" s="12"/>
      <c r="U42" s="12"/>
      <c r="V42" s="12"/>
    </row>
    <row r="43" spans="1:22" x14ac:dyDescent="0.25">
      <c r="A43" s="12"/>
      <c r="B43" s="12"/>
      <c r="C43" s="12"/>
      <c r="D43" s="12"/>
      <c r="E43" s="12"/>
      <c r="F43" s="12"/>
      <c r="G43" s="12"/>
      <c r="H43" s="12"/>
      <c r="I43" s="12"/>
      <c r="J43" s="12"/>
      <c r="K43" s="12"/>
      <c r="L43" s="12"/>
      <c r="M43" s="12"/>
      <c r="N43" s="12"/>
      <c r="O43" s="12"/>
      <c r="P43" s="12"/>
      <c r="Q43" s="12"/>
      <c r="R43" s="12"/>
      <c r="S43" s="12"/>
      <c r="T43" s="12"/>
      <c r="U43" s="12"/>
      <c r="V43" s="12"/>
    </row>
    <row r="44" spans="1:22" x14ac:dyDescent="0.25">
      <c r="A44" s="12"/>
      <c r="B44" s="12"/>
      <c r="C44" s="12"/>
      <c r="D44" s="12"/>
      <c r="E44" s="12"/>
      <c r="F44" s="12"/>
      <c r="G44" s="12"/>
      <c r="H44" s="12"/>
      <c r="I44" s="12"/>
      <c r="J44" s="12"/>
      <c r="K44" s="12"/>
      <c r="L44" s="12"/>
      <c r="M44" s="12"/>
      <c r="N44" s="12"/>
      <c r="O44" s="12"/>
      <c r="P44" s="12"/>
      <c r="Q44" s="12"/>
      <c r="R44" s="12"/>
      <c r="S44" s="12"/>
      <c r="T44" s="12"/>
      <c r="U44" s="12"/>
      <c r="V44" s="12"/>
    </row>
    <row r="45" spans="1:22" x14ac:dyDescent="0.25">
      <c r="A45" s="12"/>
      <c r="B45" s="12"/>
      <c r="C45" s="12"/>
      <c r="D45" s="12"/>
      <c r="E45" s="12"/>
      <c r="F45" s="12"/>
      <c r="G45" s="12"/>
      <c r="H45" s="12"/>
      <c r="I45" s="12"/>
      <c r="J45" s="12"/>
      <c r="K45" s="12"/>
      <c r="L45" s="12"/>
      <c r="M45" s="12"/>
      <c r="N45" s="12"/>
      <c r="O45" s="12"/>
      <c r="P45" s="12"/>
      <c r="Q45" s="12"/>
      <c r="R45" s="12"/>
      <c r="S45" s="12"/>
      <c r="T45" s="12"/>
      <c r="U45" s="12"/>
      <c r="V45" s="12"/>
    </row>
    <row r="46" spans="1:22" x14ac:dyDescent="0.25">
      <c r="A46" s="12"/>
      <c r="B46" s="12"/>
      <c r="C46" s="12"/>
      <c r="D46" s="12"/>
      <c r="E46" s="12"/>
      <c r="F46" s="12"/>
      <c r="G46" s="12"/>
      <c r="H46" s="12"/>
      <c r="I46" s="12"/>
      <c r="J46" s="12"/>
      <c r="K46" s="12"/>
      <c r="L46" s="12"/>
      <c r="M46" s="12"/>
      <c r="N46" s="12"/>
      <c r="O46" s="12"/>
      <c r="P46" s="12"/>
      <c r="Q46" s="12"/>
      <c r="R46" s="12"/>
      <c r="S46" s="12"/>
      <c r="T46" s="12"/>
      <c r="U46" s="12"/>
      <c r="V46" s="12"/>
    </row>
    <row r="47" spans="1:22" x14ac:dyDescent="0.25">
      <c r="A47" s="12"/>
      <c r="B47" s="12"/>
      <c r="C47" s="12"/>
      <c r="D47" s="12"/>
      <c r="E47" s="12"/>
      <c r="F47" s="12"/>
      <c r="G47" s="12"/>
      <c r="H47" s="12"/>
      <c r="I47" s="12"/>
      <c r="J47" s="12"/>
      <c r="K47" s="12"/>
      <c r="L47" s="12"/>
      <c r="M47" s="12"/>
      <c r="N47" s="12"/>
      <c r="O47" s="12"/>
      <c r="P47" s="12"/>
      <c r="Q47" s="12"/>
      <c r="R47" s="12"/>
      <c r="S47" s="12"/>
      <c r="T47" s="12"/>
      <c r="U47" s="12"/>
      <c r="V47" s="12"/>
    </row>
  </sheetData>
  <mergeCells count="3">
    <mergeCell ref="A4:V47"/>
    <mergeCell ref="A1:V2"/>
    <mergeCell ref="A3: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Calculations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patil</dc:creator>
  <cp:lastModifiedBy>raj patil</cp:lastModifiedBy>
  <dcterms:created xsi:type="dcterms:W3CDTF">2026-07-08T18:15:22Z</dcterms:created>
  <dcterms:modified xsi:type="dcterms:W3CDTF">2026-07-10T09:46:23Z</dcterms:modified>
</cp:coreProperties>
</file>